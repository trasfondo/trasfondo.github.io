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dientes" sheetId="1" state="visible" r:id="rId3"/>
    <sheet name="Avance" sheetId="2" state="visible" r:id="rId4"/>
    <sheet name="KPIs" sheetId="3" state="visible" r:id="rId5"/>
    <sheet name="Línea de base" sheetId="4" state="visible" r:id="rId6"/>
    <sheet name="Retesteo (Sprint 1)" sheetId="5" state="visible" r:id="rId7"/>
    <sheet name="Analítica GA4" sheetId="6" state="visible" r:id="rId8"/>
    <sheet name="Substack previo" sheetId="7" state="visible" r:id="rId9"/>
    <sheet name="Decisiones" sheetId="8" state="visible" r:id="rId10"/>
    <sheet name="Benchmark aplicado" sheetId="9" state="visible" r:id="rId11"/>
    <sheet name="Cronograma" sheetId="10" state="visible" r:id="rId12"/>
    <sheet name="Repositori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<sst xmlns="http://schemas.openxmlformats.org/spreadsheetml/2006/main" count="771" uniqueCount="570">
  <si>
    <t xml:space="preserve">Pendientes del proyecto</t>
  </si>
  <si>
    <t xml:space="preserve">Lista viva. Claude la revisa y te la recuerda en cada sesión hasta que cada ítem pase a Hecho.</t>
  </si>
  <si>
    <t xml:space="preserve">#</t>
  </si>
  <si>
    <t xml:space="preserve">Pendiente</t>
  </si>
  <si>
    <t xml:space="preserve">Quién</t>
  </si>
  <si>
    <t xml:space="preserve">Para cuándo</t>
  </si>
  <si>
    <t xml:space="preserve">Estado</t>
  </si>
  <si>
    <t xml:space="preserve">Subir el index.html nuevo (marca T de cierre, eslogan, foto con el nombre Alejandro-firma.png) y verificarlo en el celular</t>
  </si>
  <si>
    <t xml:space="preserve">Alejandro</t>
  </si>
  <si>
    <t xml:space="preserve">Hoy 12 oct</t>
  </si>
  <si>
    <t xml:space="preserve">Verificar que se vea tu foto circular en las firmas y en Quién</t>
  </si>
  <si>
    <t xml:space="preserve">Magda: la carpeta Magda no tiene FotoMagda3.jpg (Magda con los oficiales); subirla o decir qué foto va ahí</t>
  </si>
  <si>
    <t xml:space="preserve">GA4: aplicar los 4 ajustes (apagar "cambios de página según el historial", registrar dimensiones, marcar eventos clave, retención de 14 meses)</t>
  </si>
  <si>
    <t xml:space="preserve">Confirmar los 5 sujetos y horarios del retesteo (13 a 15 oct)</t>
  </si>
  <si>
    <t xml:space="preserve">Audio: recortar de tu grabación el clip de la gobernadora (30 a 40 s) y subirlo como audio/gobernadora.mp3</t>
  </si>
  <si>
    <t xml:space="preserve">Antes de la 1ª sesión</t>
  </si>
  <si>
    <t xml:space="preserve">Etiquetar la versión del Chocó en GitHub (Releases) antes de la primera sesión</t>
  </si>
  <si>
    <t xml:space="preserve">Retesteo del Chocó con 5 sujetos (mismas preguntas P0 a P9 más bloque B al final)</t>
  </si>
  <si>
    <t xml:space="preserve">13 a 15 oct</t>
  </si>
  <si>
    <t xml:space="preserve">Bloque B del protocolo y encuesta post-lectura: Claude los redacta</t>
  </si>
  <si>
    <t xml:space="preserve">Claude</t>
  </si>
  <si>
    <t xml:space="preserve">Martes 13 oct</t>
  </si>
  <si>
    <t xml:space="preserve">Revisar con El Espectador los derechos de reutilizar los textos</t>
  </si>
  <si>
    <t xml:space="preserve">Esta semana</t>
  </si>
  <si>
    <t xml:space="preserve">Audios de apertura (choco, aviturismo, magda), cuando tengas dónde grabarlos</t>
  </si>
  <si>
    <t xml:space="preserve">Más adelante</t>
  </si>
  <si>
    <t xml:space="preserve">Verificar cifras dudosas del aviturismo: 62,8 millones de dólares vs 3 millones de viajes, 1.963 avistamientos del Global Big Day, 102 reportes 2021-2024, atribución de las 139 amenazadas, Ley 2373 de 2024</t>
  </si>
  <si>
    <t xml:space="preserve">Antes de difundir</t>
  </si>
  <si>
    <t xml:space="preserve">Verificar Magda: "Diciembre, 2003" junto a "proceso de Paz de Pastrana, la zona de distensión" (esa zona terminó en febrero de 2002); "noche en Valledupar" frente a Codazzi; 27,6 % de mujeres; datos de Luz Franco</t>
  </si>
  <si>
    <t xml:space="preserve">Newsletter: confirmar qué piezas de El Espectador pasan a "Próximamente" (hoy: trampa del barro, Migración Colombia, SOAT y motos, PIB); sugerencia: descartar "Un país que promete futuro digital…" y verificar Aerocafé antes de publicarla</t>
  </si>
  <si>
    <t xml:space="preserve">Pie de foto (descripción) de la portada de la ruta de los cantos, hoy solo lleva el crédito</t>
  </si>
  <si>
    <t xml:space="preserve">Opcional</t>
  </si>
  <si>
    <t xml:space="preserve">Chocó: encender el segundo interactivo (escalera de cifras) y "continuar donde lo dejaste" solo después de cerrar el retesteo</t>
  </si>
  <si>
    <t xml:space="preserve">Alejandro y Claude</t>
  </si>
  <si>
    <t xml:space="preserve">Tras el retesteo</t>
  </si>
  <si>
    <t xml:space="preserve">Decidir sobre la tarjeta descargable de la promesa y el recuadro "lo que te llevas"</t>
  </si>
  <si>
    <t xml:space="preserve">Newsletter piloto y preventa del taller</t>
  </si>
  <si>
    <t xml:space="preserve">19 oct al 8 nov</t>
  </si>
  <si>
    <t xml:space="preserve">Monetización: aplicar apuntes de la Unidad 4 y 5 (potencial de monetización y definición de precio)</t>
  </si>
  <si>
    <t xml:space="preserve">Pasar tus apuntes de neurociencias para la comunicación y la plantilla de sprints del profesor</t>
  </si>
  <si>
    <t xml:space="preserve">Cuando los tengas</t>
  </si>
  <si>
    <t xml:space="preserve">Formulario propio de correos: pospuesto; por ahora "Suscribirme" abre Substack</t>
  </si>
  <si>
    <t xml:space="preserve">Pospuesto</t>
  </si>
  <si>
    <t xml:space="preserve">Google Analytics detectó la etiqueta y recibe datos</t>
  </si>
  <si>
    <t xml:space="preserve">11 oct</t>
  </si>
  <si>
    <t xml:space="preserve">Hecho</t>
  </si>
  <si>
    <t xml:space="preserve">Subir manifest.webmanifest e íconos al repositorio</t>
  </si>
  <si>
    <t xml:space="preserve">Probar el sitio en el celular (Aa, línea de tiempo, glosario, filtros)</t>
  </si>
  <si>
    <t xml:space="preserve">Gráficos de Flourish cargan</t>
  </si>
  <si>
    <t xml:space="preserve">12 oct</t>
  </si>
  <si>
    <t xml:space="preserve">Fotos de Magda aparecen y portadas del aviturismo con nombres en minúscula (foto1, foto2)</t>
  </si>
  <si>
    <t xml:space="preserve">Pendientes abiertos</t>
  </si>
  <si>
    <t xml:space="preserve">Avance del proyecto (estimación al 12 de octubre de 2026)</t>
  </si>
  <si>
    <t xml:space="preserve">Los pesos y los porcentajes son una estimación de Claude: edita las celdas amarillas y el total se recalcula. Lectura clave: el producto va mucho más adelantado que la evidencia.</t>
  </si>
  <si>
    <t xml:space="preserve">Componente</t>
  </si>
  <si>
    <t xml:space="preserve">Peso</t>
  </si>
  <si>
    <t xml:space="preserve">Avance</t>
  </si>
  <si>
    <t xml:space="preserve">Aporte</t>
  </si>
  <si>
    <t xml:space="preserve">Qué hay hecho</t>
  </si>
  <si>
    <t xml:space="preserve">Qué falta</t>
  </si>
  <si>
    <t xml:space="preserve">Marco, problema y diagnóstico (encuesta N = 306)</t>
  </si>
  <si>
    <t xml:space="preserve">Problema, objetivos, hipótesis H1 a H3 y diagnóstico con la encuesta</t>
  </si>
  <si>
    <t xml:space="preserve">Integrarlo en el documento final</t>
  </si>
  <si>
    <t xml:space="preserve">Benchmarking y propuesta de valor</t>
  </si>
  <si>
    <t xml:space="preserve">Tabla de referentes y hoja "Benchmark aplicado"</t>
  </si>
  <si>
    <t xml:space="preserve">Aplicar 3 ítems más y citarlos en el texto</t>
  </si>
  <si>
    <t xml:space="preserve">Producto mínimo viable (sitio y 3 piezas)</t>
  </si>
  <si>
    <t xml:space="preserve">Sitio, 3 piezas con promesa, interactivos, glosario, capítulos, continuar leyendo, analítica, fotos y gráficos</t>
  </si>
  <si>
    <t xml:space="preserve">Audios; newsletter piloto; pulir con lo que muestre el retesteo</t>
  </si>
  <si>
    <t xml:space="preserve">Validación con usuarios (línea de base, retesteo, segundo método, analítica)</t>
  </si>
  <si>
    <t xml:space="preserve">Línea de base con 5 sujetos; GA4 recién activo</t>
  </si>
  <si>
    <t xml:space="preserve">Retesteo; encuesta; 4 semanas de GA4</t>
  </si>
  <si>
    <t xml:space="preserve">KPIs, informe de desempeño y decisión</t>
  </si>
  <si>
    <t xml:space="preserve">KPIs definidos, libro de Excel e informe borrador</t>
  </si>
  <si>
    <t xml:space="preserve">Datos del retesteo y de GA4; decisión de continuar, ajustar o pivotar</t>
  </si>
  <si>
    <t xml:space="preserve">Monetización validada</t>
  </si>
  <si>
    <t xml:space="preserve">Hipótesis, benchmark y apuntes de precio</t>
  </si>
  <si>
    <t xml:space="preserve">Preventa del taller, precio probado, newsletter piloto</t>
  </si>
  <si>
    <t xml:space="preserve">Documento final de tesis</t>
  </si>
  <si>
    <t xml:space="preserve">Partes de problema y metodología</t>
  </si>
  <si>
    <t xml:space="preserve">Resultados, decisiones y conclusiones</t>
  </si>
  <si>
    <t xml:space="preserve">Sustentación</t>
  </si>
  <si>
    <t xml:space="preserve">—</t>
  </si>
  <si>
    <t xml:space="preserve">Guion, demostración y preguntas difíciles</t>
  </si>
  <si>
    <t xml:space="preserve">Total</t>
  </si>
  <si>
    <t xml:space="preserve">Producto (promedio de lo construido)</t>
  </si>
  <si>
    <t xml:space="preserve">Evidencia (validación con usuarios)</t>
  </si>
  <si>
    <t xml:space="preserve">Diferencia entre producto y evidencia</t>
  </si>
  <si>
    <t xml:space="preserve">Trasfondo · KPIs y estado frente a las metas</t>
  </si>
  <si>
    <t xml:space="preserve">Línea de base y meta provienen del backlog (historias US01–US10). "Meta propuesta" indica un supuesto mío que debes confirmar. Con n = 5, el semáforo orienta la iteración; no es inferencia estadística.</t>
  </si>
  <si>
    <t xml:space="preserve">ID</t>
  </si>
  <si>
    <t xml:space="preserve">KPI</t>
  </si>
  <si>
    <t xml:space="preserve">Historia / hipótesis</t>
  </si>
  <si>
    <t xml:space="preserve">Qué mide (definición operativa)</t>
  </si>
  <si>
    <t xml:space="preserve">Instrumento</t>
  </si>
  <si>
    <t xml:space="preserve">Línea de base</t>
  </si>
  <si>
    <t xml:space="preserve">Meta</t>
  </si>
  <si>
    <t xml:space="preserve">Último dato (retesteo)</t>
  </si>
  <si>
    <t xml:space="preserve">Origen de la meta</t>
  </si>
  <si>
    <t xml:space="preserve">Lectura</t>
  </si>
  <si>
    <t xml:space="preserve">K1</t>
  </si>
  <si>
    <t xml:space="preserve">Atención sostenida en el primer tercio</t>
  </si>
  <si>
    <t xml:space="preserve">US01 · US05</t>
  </si>
  <si>
    <t xml:space="preserve">Sujetos (de 5) que no pierden atención en el primer tercio del artículo</t>
  </si>
  <si>
    <t xml:space="preserve">Observación directa + diario de campo</t>
  </si>
  <si>
    <t xml:space="preserve">Backlog US01</t>
  </si>
  <si>
    <t xml:space="preserve">K1 Atención</t>
  </si>
  <si>
    <t xml:space="preserve">K2</t>
  </si>
  <si>
    <t xml:space="preserve">Marco prometido articulado con claridad</t>
  </si>
  <si>
    <t xml:space="preserve">US02 · H1</t>
  </si>
  <si>
    <t xml:space="preserve">Sujetos que, en P3, articulan el aprendizaje prometido con claridad</t>
  </si>
  <si>
    <t xml:space="preserve">Entrevista (P3)</t>
  </si>
  <si>
    <t xml:space="preserve">Backlog US02</t>
  </si>
  <si>
    <t xml:space="preserve">K2 Marco claro</t>
  </si>
  <si>
    <t xml:space="preserve">K3</t>
  </si>
  <si>
    <t xml:space="preserve">Uso espontáneo del audio</t>
  </si>
  <si>
    <t xml:space="preserve">US03 · H1</t>
  </si>
  <si>
    <t xml:space="preserve">Sujetos que activan el audio sin que se les pida</t>
  </si>
  <si>
    <t xml:space="preserve">Observación + evento audio_play (GA4)</t>
  </si>
  <si>
    <t xml:space="preserve">Backlog US03</t>
  </si>
  <si>
    <t xml:space="preserve">K3 Audio</t>
  </si>
  <si>
    <t xml:space="preserve">K4</t>
  </si>
  <si>
    <t xml:space="preserve">Participación en el punto de decisión</t>
  </si>
  <si>
    <t xml:space="preserve">US04</t>
  </si>
  <si>
    <t xml:space="preserve">Sujetos que interactúan con el interactivo (conducta observada)</t>
  </si>
  <si>
    <t xml:space="preserve">Observación + eventos ix_abrir / ix_elige</t>
  </si>
  <si>
    <t xml:space="preserve">Meta propuesta (todos los sujetos)</t>
  </si>
  <si>
    <t xml:space="preserve">No existía en la línea de base</t>
  </si>
  <si>
    <t xml:space="preserve">K5 P9</t>
  </si>
  <si>
    <t xml:space="preserve">K5</t>
  </si>
  <si>
    <t xml:space="preserve">Interactividad valorada (P9)</t>
  </si>
  <si>
    <t xml:space="preserve">Sujetos con respuesta positiva sobre la interactividad en P9</t>
  </si>
  <si>
    <t xml:space="preserve">Entrevista (P9)</t>
  </si>
  <si>
    <t xml:space="preserve">Backlog US04</t>
  </si>
  <si>
    <t xml:space="preserve">K7 Pago multimedia</t>
  </si>
  <si>
    <t xml:space="preserve">K6</t>
  </si>
  <si>
    <t xml:space="preserve">Primera interrupción voluntaria &gt; 7 min</t>
  </si>
  <si>
    <t xml:space="preserve">US05</t>
  </si>
  <si>
    <t xml:space="preserve">Sujetos cuya primera interrupción ocurre después de 7 minutos</t>
  </si>
  <si>
    <t xml:space="preserve">Observación cronometrada</t>
  </si>
  <si>
    <t xml:space="preserve">Backlog US05</t>
  </si>
  <si>
    <t xml:space="preserve">Línea de base variable, sin dato único</t>
  </si>
  <si>
    <t xml:space="preserve">K7</t>
  </si>
  <si>
    <t xml:space="preserve">Disposición de pago con multimedia</t>
  </si>
  <si>
    <t xml:space="preserve">US06 · H2</t>
  </si>
  <si>
    <t xml:space="preserve">Sujetos que pagarían si hay elementos multimedia (sí declarado)</t>
  </si>
  <si>
    <t xml:space="preserve">Entrevista (P7)</t>
  </si>
  <si>
    <t xml:space="preserve">Backlog US06</t>
  </si>
  <si>
    <t xml:space="preserve">Línea de base tal como figura en el backlog (1,5 de 5)</t>
  </si>
  <si>
    <t xml:space="preserve">K8</t>
  </si>
  <si>
    <t xml:space="preserve">Disposición de pago por taller</t>
  </si>
  <si>
    <t xml:space="preserve">US09</t>
  </si>
  <si>
    <t xml:space="preserve">Sujetos que declaran que pagarían por un taller</t>
  </si>
  <si>
    <t xml:space="preserve">Entrevista</t>
  </si>
  <si>
    <t xml:space="preserve">Backlog US09</t>
  </si>
  <si>
    <t xml:space="preserve">En la línea de base, 2 sujetos lo mencionaron con condiciones</t>
  </si>
  <si>
    <t xml:space="preserve">K9</t>
  </si>
  <si>
    <t xml:space="preserve">Compartir efectivo del enlace</t>
  </si>
  <si>
    <t xml:space="preserve">US10 · H3</t>
  </si>
  <si>
    <t xml:space="preserve">Sujetos que comparten el enlace a los 7 días</t>
  </si>
  <si>
    <t xml:space="preserve">Seguimiento + evento compartir (GA4)</t>
  </si>
  <si>
    <t xml:space="preserve">Meta propuesta</t>
  </si>
  <si>
    <t xml:space="preserve">En la línea de base, 5 de 5 nombraron a quién compartirían (intención)</t>
  </si>
  <si>
    <t xml:space="preserve">Leyenda</t>
  </si>
  <si>
    <t xml:space="preserve">Metas en amarillo: editables. "Último dato" se llena solo cuando captures los sujetos en la hoja "Retesteo (Sprint 1)". La línea de base de K7 (1,5) viene del backlog y no se calcula desde la hoja de línea de base.</t>
  </si>
  <si>
    <t xml:space="preserve">Línea de base · artículo del Chocó, versión original (sesiones de septiembre)</t>
  </si>
  <si>
    <t xml:space="preserve">Datos de las 5 sesiones de observación individuales. Los sujetos van codificados (S1–S5) por privacidad. Fuente: diario de campo y análisis de patrones de la línea de base; "s/d" = sin dato registrado.</t>
  </si>
  <si>
    <t xml:space="preserve">Sujeto</t>
  </si>
  <si>
    <t xml:space="preserve">¿Perdió atención en el primer tercio?</t>
  </si>
  <si>
    <t xml:space="preserve">¿Usó el audio?</t>
  </si>
  <si>
    <t xml:space="preserve">Respuesta a P3 (marco prometido)</t>
  </si>
  <si>
    <t xml:space="preserve">P9 · gamificación</t>
  </si>
  <si>
    <t xml:space="preserve">Disposición de pago (resumen)</t>
  </si>
  <si>
    <t xml:space="preserve">¿Nombró a alguien para compartir?</t>
  </si>
  <si>
    <t xml:space="preserve">Tiempo de lectura (mm:ss)</t>
  </si>
  <si>
    <t xml:space="preserve">S1</t>
  </si>
  <si>
    <t xml:space="preserve">No</t>
  </si>
  <si>
    <t xml:space="preserve">Sí</t>
  </si>
  <si>
    <t xml:space="preserve">No articuló</t>
  </si>
  <si>
    <t xml:space="preserve">Positiva</t>
  </si>
  <si>
    <t xml:space="preserve">s/d</t>
  </si>
  <si>
    <t xml:space="preserve">S2</t>
  </si>
  <si>
    <t xml:space="preserve">Emocional</t>
  </si>
  <si>
    <t xml:space="preserve">Condicionada a elementos multimedia (voz de la fuente, cápsulas visuales)</t>
  </si>
  <si>
    <t xml:space="preserve">11:48</t>
  </si>
  <si>
    <t xml:space="preserve">S3</t>
  </si>
  <si>
    <t xml:space="preserve">Clara</t>
  </si>
  <si>
    <t xml:space="preserve">No pagaría sin una línea editorial que lo convenza antes del artículo</t>
  </si>
  <si>
    <t xml:space="preserve">S4</t>
  </si>
  <si>
    <t xml:space="preserve">Parcial</t>
  </si>
  <si>
    <t xml:space="preserve">Disposición 3,5 en la escala del protocolo</t>
  </si>
  <si>
    <t xml:space="preserve">S5</t>
  </si>
  <si>
    <t xml:space="preserve">Pagaría a precio moderado</t>
  </si>
  <si>
    <t xml:space="preserve">14:55</t>
  </si>
  <si>
    <t xml:space="preserve">Conteos (fórmulas)</t>
  </si>
  <si>
    <t xml:space="preserve">Sujetos que NO perdieron atención</t>
  </si>
  <si>
    <t xml:space="preserve">Sujetos que usaron el audio</t>
  </si>
  <si>
    <t xml:space="preserve">Sujetos con marco articulado con claridad (P3)</t>
  </si>
  <si>
    <t xml:space="preserve">Sujetos con P9 positiva</t>
  </si>
  <si>
    <t xml:space="preserve">Sujetos que nombraron a alguien para compartir</t>
  </si>
  <si>
    <t xml:space="preserve">Nota: la clasificación de P3 como "Clara" sigue el criterio del backlog (US02): solo 2 de 5 lo articularon con claridad. El tiempo de lectura se transcribe tal como figura en el diario de campo.</t>
  </si>
  <si>
    <t xml:space="preserve">Sprint 1 · Retesteo del artículo del Chocó (versión con intervenciones)</t>
  </si>
  <si>
    <t xml:space="preserve">Celdas amarillas = para llenar. Una fila por sujeto. La fila gris es solo un ejemplo del formato; no entra en los conteos. Las listas desplegables evitan errores de escritura.</t>
  </si>
  <si>
    <t xml:space="preserve">Fecha</t>
  </si>
  <si>
    <t xml:space="preserve">P3 (marco prometido)</t>
  </si>
  <si>
    <t xml:space="preserve">¿Interactuó en el punto de decisión?</t>
  </si>
  <si>
    <t xml:space="preserve">Tiempo hasta 1ª interrupción (min)</t>
  </si>
  <si>
    <t xml:space="preserve">¿Pagaría con multimedia?</t>
  </si>
  <si>
    <t xml:space="preserve">¿Pagaría por un taller?</t>
  </si>
  <si>
    <t xml:space="preserve">¿Compartió el enlace (a los 7 días)?</t>
  </si>
  <si>
    <t xml:space="preserve">Ejemplo</t>
  </si>
  <si>
    <t xml:space="preserve">2026-10-13</t>
  </si>
  <si>
    <t xml:space="preserve">Sujetos que interactuaron en el punto de decisión</t>
  </si>
  <si>
    <t xml:space="preserve">Sujetos con 1ª interrupción &gt; 7 min</t>
  </si>
  <si>
    <t xml:space="preserve">Sujetos que pagarían con multimedia (Sí)</t>
  </si>
  <si>
    <t xml:space="preserve">Sujetos que pagarían por taller</t>
  </si>
  <si>
    <t xml:space="preserve">Sujetos que compartieron el enlace</t>
  </si>
  <si>
    <t xml:space="preserve">Analítica del sitio (Google Analytics 4) · Sprint 2</t>
  </si>
  <si>
    <t xml:space="preserve">Pega cada semana los conteos de GA4 (Informes &gt; Eventos). Celdas amarillas = entrada; las tasas se calculan solas. La fila gris es un ejemplo del formato (cifras inventadas, no cuentan).</t>
  </si>
  <si>
    <t xml:space="preserve">Semana (lunes)</t>
  </si>
  <si>
    <t xml:space="preserve">Usuarios</t>
  </si>
  <si>
    <t xml:space="preserve">Vistas del Chocó</t>
  </si>
  <si>
    <t xml:space="preserve">lectura_avance 25%</t>
  </si>
  <si>
    <t xml:space="preserve">lectura_avance 50%</t>
  </si>
  <si>
    <t xml:space="preserve">lectura_avance 75%</t>
  </si>
  <si>
    <t xml:space="preserve">lectura_avance 100%</t>
  </si>
  <si>
    <t xml:space="preserve">ix_abrir</t>
  </si>
  <si>
    <t xml:space="preserve">ix_elige</t>
  </si>
  <si>
    <t xml:space="preserve">audio_play</t>
  </si>
  <si>
    <t xml:space="preserve">compartir</t>
  </si>
  <si>
    <t xml:space="preserve">newsletter_submit</t>
  </si>
  <si>
    <t xml:space="preserve">Tasa 50 %</t>
  </si>
  <si>
    <t xml:space="preserve">Tasa lectura completa</t>
  </si>
  <si>
    <t xml:space="preserve">Cómo se alimenta</t>
  </si>
  <si>
    <t xml:space="preserve">Eventos que envía el sitio: page_view (por pieza y por ruta), lectura_avance (hito 25/50/75/100), ix_abrir, ix_elige, audio_play, compartir, newsletter_submit, tema_cambio. Para ver los parámetros (pieza, hito, interactivo, opcion) en los informes, regístralos en GA4 como dimensiones personalizadas de evento.</t>
  </si>
  <si>
    <t xml:space="preserve">Metas de analítica: aún sin definir. Propuesta: medir 4 semanas de tráfico real y fijar metas a partir de esa línea de base.</t>
  </si>
  <si>
    <t xml:space="preserve">Substack, canal previo a GitHub · cifras del panel</t>
  </si>
  <si>
    <t xml:space="preserve">Datos tal como los entregó el panel de Substack de Trasfondo (antes de pasar al sitio propio). Celdas azules = datos del panel; las negras se calculan. Son cifras de una muestra mínima: sirven de referencia, no de conclusión.</t>
  </si>
  <si>
    <t xml:space="preserve">Dato del perfil</t>
  </si>
  <si>
    <t xml:space="preserve">Valor</t>
  </si>
  <si>
    <t xml:space="preserve">Suscriptores totales</t>
  </si>
  <si>
    <t xml:space="preserve">Vistas totales (perfil)</t>
  </si>
  <si>
    <t xml:space="preserve">Nuevos suscriptores</t>
  </si>
  <si>
    <t xml:space="preserve">Tasa de apertura (perfil)</t>
  </si>
  <si>
    <t xml:space="preserve">Última publicación</t>
  </si>
  <si>
    <t xml:space="preserve">18 sept (Chocó)</t>
  </si>
  <si>
    <t xml:space="preserve">Pieza</t>
  </si>
  <si>
    <t xml:space="preserve">Publicada</t>
  </si>
  <si>
    <t xml:space="preserve">Visitas</t>
  </si>
  <si>
    <t xml:space="preserve">Destinatarios</t>
  </si>
  <si>
    <t xml:space="preserve">Aperturas</t>
  </si>
  <si>
    <t xml:space="preserve">Tasa de apertura</t>
  </si>
  <si>
    <t xml:space="preserve">Clics en enlaces</t>
  </si>
  <si>
    <t xml:space="preserve">Me gusta</t>
  </si>
  <si>
    <t xml:space="preserve">Comentarios</t>
  </si>
  <si>
    <t xml:space="preserve">Fuente: directo</t>
  </si>
  <si>
    <t xml:space="preserve">Fuente: direct-to-app</t>
  </si>
  <si>
    <t xml:space="preserve">Fuente: app Substack</t>
  </si>
  <si>
    <t xml:space="preserve">Dispositivo: escritorio</t>
  </si>
  <si>
    <t xml:space="preserve">Dispositivo: web móvil</t>
  </si>
  <si>
    <t xml:space="preserve">Dispositivo: app Substack</t>
  </si>
  <si>
    <t xml:space="preserve">Móvil total (web + app)</t>
  </si>
  <si>
    <t xml:space="preserve">Visitas por destinatario</t>
  </si>
  <si>
    <t xml:space="preserve">Un vuelo humanitario para un Chocó…</t>
  </si>
  <si>
    <t xml:space="preserve">18 sept</t>
  </si>
  <si>
    <t xml:space="preserve">Del boom del aviturismo a la alerta…</t>
  </si>
  <si>
    <t xml:space="preserve">26 ago</t>
  </si>
  <si>
    <t xml:space="preserve">Lectura crítica</t>
  </si>
  <si>
    <t xml:space="preserve">1. Muestra mínima: 4 y 2 destinatarios. Una apertura más o menos mueve la tasa 25 o 50 puntos, y las visitas no distinguen lectores únicos ni excluyen las del propio autor.</t>
  </si>
  <si>
    <t xml:space="preserve">2. Móvil: en el Chocó solo el 38 % de las visitas fue móvil (web + app) y el 62 % fue de escritorio; en aviturismo fue el 56 %. Tu encuesta (N = 306) dice que el 60 % lee en celular: el canal previo no confirma ni desmiente el supuesto móvil. Hay que verificarlo con GA4.</t>
  </si>
  <si>
    <t xml:space="preserve">3. Ningún enlace recibió clics y la profundidad de lectura figura como "aún no hay suficientes lectores": Substack no sirve para medir lectura. Es la razón práctica para medir con GA4.</t>
  </si>
  <si>
    <t xml:space="preserve">4. Esto es la línea de base de distribución (apertura, visitas, suscriptores), no de comprensión. La comprensión se mide en las sesiones con sujetos.</t>
  </si>
  <si>
    <t xml:space="preserve">Regla de decisión: continuar, ajustar o pivotar</t>
  </si>
  <si>
    <t xml:space="preserve">Los umbrales son una propuesta (celdas amarillas, editables). Para el profesor, la decisión final combina esta señal con el análisis cualitativo.</t>
  </si>
  <si>
    <t xml:space="preserve">KPIs que cumplen la meta</t>
  </si>
  <si>
    <t xml:space="preserve">KPIs con dato registrado</t>
  </si>
  <si>
    <t xml:space="preserve">Umbral para CONTINUAR (≥)</t>
  </si>
  <si>
    <t xml:space="preserve">Supuesto: 6 de 9 KPIs en meta = continuar; 3 a 5 = ajustar; menos de 3 = evaluar pivote. Proponlo al profesor y cámbialo si hace falta.</t>
  </si>
  <si>
    <t xml:space="preserve">Umbral para AJUSTAR (≥)</t>
  </si>
  <si>
    <t xml:space="preserve">Señal actual</t>
  </si>
  <si>
    <t xml:space="preserve">Registro de decisiones</t>
  </si>
  <si>
    <t xml:space="preserve">Dato / KPI que la motiva</t>
  </si>
  <si>
    <t xml:space="preserve">Interpretación</t>
  </si>
  <si>
    <t xml:space="preserve">Decisión (continuar / ajustar / pivotar)</t>
  </si>
  <si>
    <t xml:space="preserve">Acción concreta</t>
  </si>
  <si>
    <t xml:space="preserve">Responsable</t>
  </si>
  <si>
    <t xml:space="preserve">Cuándo se revisa</t>
  </si>
  <si>
    <t xml:space="preserve">K1 pasó de 2 a 4 de 5</t>
  </si>
  <si>
    <t xml:space="preserve">El ancla del primer tercio redujo la pérdida de atención</t>
  </si>
  <si>
    <t xml:space="preserve">Continuar</t>
  </si>
  <si>
    <t xml:space="preserve">Aplicar el ancla a las demás piezas</t>
  </si>
  <si>
    <t xml:space="preserve">Sprint 3</t>
  </si>
  <si>
    <t xml:space="preserve">Benchmarking aplicado: qué rescatar de cada referente</t>
  </si>
  <si>
    <t xml:space="preserve">"Qué hacen bien" resume tu tabla del segundo semestre (Big Think no estaba en ella: lo añadí tras revisar su portada). La columna de aplicación son propuestas mías; el estado se cambia con el desplegable.</t>
  </si>
  <si>
    <t xml:space="preserve">Referente</t>
  </si>
  <si>
    <t xml:space="preserve">Qué hacen bien</t>
  </si>
  <si>
    <t xml:space="preserve">Qué rescatar</t>
  </si>
  <si>
    <t xml:space="preserve">Aplicación concreta en Trasfondo</t>
  </si>
  <si>
    <t xml:space="preserve">Dónde</t>
  </si>
  <si>
    <t xml:space="preserve">Cerosetenta</t>
  </si>
  <si>
    <t xml:space="preserve">Puentes entre rigor académico y narrativa; enfoque en comprensión; nativo digital colombiano</t>
  </si>
  <si>
    <t xml:space="preserve">Alianza con la universidad como respaldo y canal</t>
  </si>
  <si>
    <t xml:space="preserve">Kit docente: pieza + guía de discusión + audio, para cursos de periodismo</t>
  </si>
  <si>
    <t xml:space="preserve">Propuesto</t>
  </si>
  <si>
    <t xml:space="preserve">Monetización (línea 2)</t>
  </si>
  <si>
    <t xml:space="preserve">DianaUribe.fm</t>
  </si>
  <si>
    <t xml:space="preserve">Podcast narrativo de largo aliento; comunidad en Patreon; marca personal; sitio propio</t>
  </si>
  <si>
    <t xml:space="preserve">El audio como producto central y la comunidad que paga</t>
  </si>
  <si>
    <t xml:space="preserve">Audio de apertura por pieza (hecho); membresía de comunidad cuando haya audiencia</t>
  </si>
  <si>
    <t xml:space="preserve">Aplicado en parte</t>
  </si>
  <si>
    <t xml:space="preserve">Bloque de audio en cada pieza</t>
  </si>
  <si>
    <t xml:space="preserve">Vorágine</t>
  </si>
  <si>
    <t xml:space="preserve">Cada periodista cuenta en redes, de forma clara y fresca, de qué trata la investigación</t>
  </si>
  <si>
    <t xml:space="preserve">Anunciar la promesa antes del enlace</t>
  </si>
  <si>
    <t xml:space="preserve">Mensaje corto en WhatsApp con el "qué vas a entender" de la pieza</t>
  </si>
  <si>
    <t xml:space="preserve">Difusión por WhatsApp</t>
  </si>
  <si>
    <t xml:space="preserve">El Malpensante</t>
  </si>
  <si>
    <t xml:space="preserve">Propuesta visual sólida y dirección de arte arriesgada</t>
  </si>
  <si>
    <t xml:space="preserve">Identidad visual como parte del valor</t>
  </si>
  <si>
    <t xml:space="preserve">Tipografía Fraunces + Alegreya (hecho); ilustración o fotografía propia por pieza</t>
  </si>
  <si>
    <t xml:space="preserve">Sistema visual</t>
  </si>
  <si>
    <t xml:space="preserve">Radio Ambulante</t>
  </si>
  <si>
    <t xml:space="preserve">Series temáticas, clubes de escucha, alianzas, membresía</t>
  </si>
  <si>
    <t xml:space="preserve">Comunidad alrededor de cada serie</t>
  </si>
  <si>
    <t xml:space="preserve">Clubes de lectura mensuales ligados al taller</t>
  </si>
  <si>
    <t xml:space="preserve">Taller</t>
  </si>
  <si>
    <t xml:space="preserve">Zetland</t>
  </si>
  <si>
    <t xml:space="preserve">"Hace sentido, no hace noticias"; texto y audio; eventos en vivo; 50 % de suscriptores menores de 35</t>
  </si>
  <si>
    <t xml:space="preserve">Texto + audio juntos y el evento en vivo</t>
  </si>
  <si>
    <t xml:space="preserve">Audio junto al texto (hecho); evento o taller en vivo por Número</t>
  </si>
  <si>
    <t xml:space="preserve">Audio y taller</t>
  </si>
  <si>
    <t xml:space="preserve">The Continent</t>
  </si>
  <si>
    <t xml:space="preserve">Mobile first, distribución directa por WhatsApp, formato para compartir, periodicidad definida, concisión</t>
  </si>
  <si>
    <t xml:space="preserve">Que el formato mismo invite a compartirse</t>
  </si>
  <si>
    <t xml:space="preserve">Botón compartir (hecho); tarjeta descargable de la promesa para el estado de WhatsApp; fecha fija de salida</t>
  </si>
  <si>
    <t xml:space="preserve">Compartir y newsletter</t>
  </si>
  <si>
    <t xml:space="preserve">Aos Fatos</t>
  </si>
  <si>
    <t xml:space="preserve">Audiencia joven latinoamericana que paga por rigor independiente</t>
  </si>
  <si>
    <t xml:space="preserve">Argumento de mercado</t>
  </si>
  <si>
    <t xml:space="preserve">Citarlo en la sustentación como evidencia de disposición a pagar</t>
  </si>
  <si>
    <t xml:space="preserve">Die Zeit</t>
  </si>
  <si>
    <t xml:space="preserve">Mercado sostenible de lectores que quieren profundidad</t>
  </si>
  <si>
    <t xml:space="preserve">Citarlo en la sustentación</t>
  </si>
  <si>
    <t xml:space="preserve">El Orden Mundial</t>
  </si>
  <si>
    <t xml:space="preserve">Mapas mentales y visualizaciones que facilitan comprensión; tono accesible; newsletter</t>
  </si>
  <si>
    <t xml:space="preserve">Visualizar el marco, no solo contarlo</t>
  </si>
  <si>
    <t xml:space="preserve">Infografía por pieza (en preparación) y un resumen visual del marco al final</t>
  </si>
  <si>
    <t xml:space="preserve">En preparación</t>
  </si>
  <si>
    <t xml:space="preserve">Infografías</t>
  </si>
  <si>
    <t xml:space="preserve">Daily Maverick</t>
  </si>
  <si>
    <t xml:space="preserve">Membresía (Maverick Insider) en el Sur Global para periodismo de profundidad</t>
  </si>
  <si>
    <t xml:space="preserve">Membresía como identidad</t>
  </si>
  <si>
    <t xml:space="preserve">Etiqueta visible "para miembros" cuando exista contenido de pago</t>
  </si>
  <si>
    <t xml:space="preserve">Por evaluar</t>
  </si>
  <si>
    <t xml:space="preserve">Monetización (línea 3)</t>
  </si>
  <si>
    <t xml:space="preserve">Mediapart</t>
  </si>
  <si>
    <t xml:space="preserve">100 % suscripción, sin publicidad; independencia editorial</t>
  </si>
  <si>
    <t xml:space="preserve">Independencia como promesa</t>
  </si>
  <si>
    <t xml:space="preserve">"Sin publicidad, sin algoritmo" ya está en el newsletter</t>
  </si>
  <si>
    <t xml:space="preserve">Aplicado</t>
  </si>
  <si>
    <t xml:space="preserve">Newsletter</t>
  </si>
  <si>
    <t xml:space="preserve">Wax Poetics</t>
  </si>
  <si>
    <t xml:space="preserve">Sistema de capítulos para artículos largos; sensación de objeto de culto; leer como excavar</t>
  </si>
  <si>
    <t xml:space="preserve">Navegar y retomar un texto largo</t>
  </si>
  <si>
    <t xml:space="preserve">Índice de capítulos en Magda y aviturismo (hecho el 11 oct); numeración de ediciones</t>
  </si>
  <si>
    <t xml:space="preserve">Piezas con 3 o más secciones</t>
  </si>
  <si>
    <t xml:space="preserve">Eremite Records</t>
  </si>
  <si>
    <t xml:space="preserve">Curaduría y rareza; existir para quienes entienden; identidad visual fuerte</t>
  </si>
  <si>
    <t xml:space="preserve">Pocas piezas, bien elegidas</t>
  </si>
  <si>
    <t xml:space="preserve">Ediciones numeradas ("Nº 01") y un archivo con selección rigurosa</t>
  </si>
  <si>
    <t xml:space="preserve">Home</t>
  </si>
  <si>
    <t xml:space="preserve">Kurzgesagt</t>
  </si>
  <si>
    <t xml:space="preserve">Arquitectura visual deliberada; el espectador sale con un modelo mental nuevo</t>
  </si>
  <si>
    <t xml:space="preserve">Cierre que deja el modelo mental a la vista</t>
  </si>
  <si>
    <t xml:space="preserve">Recuadro final "lo que te llevas" que responda las promesas del inicio</t>
  </si>
  <si>
    <t xml:space="preserve">Cierre de cada pieza</t>
  </si>
  <si>
    <t xml:space="preserve">Andrés Oppenheimer</t>
  </si>
  <si>
    <t xml:space="preserve">Marca personal fuerte en español</t>
  </si>
  <si>
    <t xml:space="preserve">Voz de autor reconocible</t>
  </si>
  <si>
    <t xml:space="preserve">Sección "Quién" con biografía corta y método (hecho)</t>
  </si>
  <si>
    <t xml:space="preserve">Yuval Noah Harari</t>
  </si>
  <si>
    <t xml:space="preserve">Cada capítulo instala un modelo mental; temporadas temáticas</t>
  </si>
  <si>
    <t xml:space="preserve">Agrupar piezas en temporadas</t>
  </si>
  <si>
    <t xml:space="preserve">Números o temporadas por línea temática</t>
  </si>
  <si>
    <t xml:space="preserve">Home y newsletter</t>
  </si>
  <si>
    <t xml:space="preserve">Wait But Why</t>
  </si>
  <si>
    <t xml:space="preserve">Profundidad inusual y audiencia que paga por Patreon</t>
  </si>
  <si>
    <t xml:space="preserve">Apoyo voluntario de la comunidad</t>
  </si>
  <si>
    <t xml:space="preserve">Opción de apoyo voluntario junto al newsletter</t>
  </si>
  <si>
    <t xml:space="preserve">Gigantes (Uruguay)</t>
  </si>
  <si>
    <t xml:space="preserve">Interfaz como parte del periodismo; cada elemento cumple una función de retención</t>
  </si>
  <si>
    <t xml:space="preserve">Interactividad con función editorial</t>
  </si>
  <si>
    <t xml:space="preserve">Interactivos de decisión por pieza (hecho)</t>
  </si>
  <si>
    <t xml:space="preserve">Modal de decisión</t>
  </si>
  <si>
    <t xml:space="preserve">Big Think (no está en tu tabla)</t>
  </si>
  <si>
    <t xml:space="preserve">Frase-promesa de una línea por columna; bajada de una línea por pieza; duración visible; números especiales; membresía y servicios para empresas</t>
  </si>
  <si>
    <t xml:space="preserve">Bajada clara y líneas temáticas con promesa propia</t>
  </si>
  <si>
    <t xml:space="preserve">Frase-promesa por línea temática en el home y filtro por línea desde el menú (hecho); bajada por pieza (ya tiene)</t>
  </si>
  <si>
    <t xml:space="preserve">Cronograma hasta la entrega y la sustentación</t>
  </si>
  <si>
    <t xml:space="preserve">Fechas propuestas a partir de tu cronograma (retesteo en octubre, KPIs y decisión en noviembre, entrega final a finales de noviembre o principios de diciembre, sustentación el 30 de enero de 2027). Lunes 12 de octubre es festivo. Ajusta según la disponibilidad real de tus sujetos.</t>
  </si>
  <si>
    <t xml:space="preserve">Día</t>
  </si>
  <si>
    <t xml:space="preserve">Foco</t>
  </si>
  <si>
    <t xml:space="preserve">Tareas</t>
  </si>
  <si>
    <t xml:space="preserve">Entregable</t>
  </si>
  <si>
    <t xml:space="preserve">Hipótesis / KPI</t>
  </si>
  <si>
    <t xml:space="preserve">2026-10-12</t>
  </si>
  <si>
    <t xml:space="preserve">Lunes (festivo)</t>
  </si>
  <si>
    <t xml:space="preserve">Dejar todo listo</t>
  </si>
  <si>
    <t xml:space="preserve">Subir el index.html nuevo y verificar en el celular (foto circular, Foto1 y Foto2, FotoMagda3). Aplicar los 4 ajustes de GA4. Confirmar los 5 sujetos y horarios. Recortar el clip de la gobernadora (30 a 40 s) y subirlo. Etiquetar la versión del Chocó en GitHub. Desde hoy hasta el 16: solo correcciones de errores, ninguna función nueva.</t>
  </si>
  <si>
    <t xml:space="preserve">Versión congelada y publicada</t>
  </si>
  <si>
    <t xml:space="preserve">Validez del estudio</t>
  </si>
  <si>
    <t xml:space="preserve">Martes</t>
  </si>
  <si>
    <t xml:space="preserve">Retesteo</t>
  </si>
  <si>
    <t xml:space="preserve">Sesiones 1 y 2, en el celular, con el mismo protocolo (P0 a P9, mismo orden) y el bloque B al final. Llenar la hoja Retesteo el mismo día. Claude entrega el bloque B y la encuesta.</t>
  </si>
  <si>
    <t xml:space="preserve">2 filas del Excel; bloque B y encuesta redactados</t>
  </si>
  <si>
    <t xml:space="preserve">K1 a K9</t>
  </si>
  <si>
    <t xml:space="preserve">2026-10-14</t>
  </si>
  <si>
    <t xml:space="preserve">Miércoles</t>
  </si>
  <si>
    <t xml:space="preserve">Sesiones 3 y 4. Registrar el minuto de la primera interrupción y si interactuaron con el modal.</t>
  </si>
  <si>
    <t xml:space="preserve">2 filas más</t>
  </si>
  <si>
    <t xml:space="preserve">2026-10-15</t>
  </si>
  <si>
    <t xml:space="preserve">Jueves</t>
  </si>
  <si>
    <t xml:space="preserve">Retesteo y GA4</t>
  </si>
  <si>
    <t xml:space="preserve">Sesión 5. Revisar en GA4 que llegan page_view y lectura_avance. Primer borrador del análisis.</t>
  </si>
  <si>
    <t xml:space="preserve">5 filas completas; GA4 verificado</t>
  </si>
  <si>
    <t xml:space="preserve">2026-10-16</t>
  </si>
  <si>
    <t xml:space="preserve">Viernes</t>
  </si>
  <si>
    <t xml:space="preserve">Análisis</t>
  </si>
  <si>
    <t xml:space="preserve">Leer el semáforo del Excel, comparar con la línea de base y escribir la lectura de cada KPI. Actualizar el informe con datos reales.</t>
  </si>
  <si>
    <t xml:space="preserve">Informe de 2 páginas con datos del retesteo</t>
  </si>
  <si>
    <t xml:space="preserve">Decisión</t>
  </si>
  <si>
    <t xml:space="preserve">2026-10-17</t>
  </si>
  <si>
    <t xml:space="preserve">Sábado</t>
  </si>
  <si>
    <t xml:space="preserve">Seguimiento y encuesta</t>
  </si>
  <si>
    <t xml:space="preserve">Mensaje personalizado a cada sujeto dentro de 48 horas de su sesión, con enlace a otra pieza y ?utm_source=mensaje&amp;utm_campaign=h3. Abrir la encuesta post-lectura en tu red.</t>
  </si>
  <si>
    <t xml:space="preserve">Mensajes enviados; encuesta abierta</t>
  </si>
  <si>
    <t xml:space="preserve">H3</t>
  </si>
  <si>
    <t xml:space="preserve">2026-10-18</t>
  </si>
  <si>
    <t xml:space="preserve">Domingo</t>
  </si>
  <si>
    <t xml:space="preserve">Descanso</t>
  </si>
  <si>
    <t xml:space="preserve">Buffer para lo que se haya movido.</t>
  </si>
  <si>
    <t xml:space="preserve">2026-10-19</t>
  </si>
  <si>
    <t xml:space="preserve">Semana 19 a 25 oct</t>
  </si>
  <si>
    <t xml:space="preserve">Iterar con lo aprendido</t>
  </si>
  <si>
    <t xml:space="preserve">Aplicar al Chocó y a las demás piezas lo que el retesteo muestre. Encender "continuar donde lo dejaste" y el segundo interactivo en el Chocó si el retesteo ya cerró. Enviar el newsletter piloto. Publicar y difundir por WhatsApp.</t>
  </si>
  <si>
    <t xml:space="preserve">Versión 2 del PMV; newsletter enviado</t>
  </si>
  <si>
    <t xml:space="preserve">H2, H3</t>
  </si>
  <si>
    <t xml:space="preserve">2026-10-26</t>
  </si>
  <si>
    <t xml:space="preserve">Semana 26 oct a 1 nov</t>
  </si>
  <si>
    <t xml:space="preserve">Monetización</t>
  </si>
  <si>
    <t xml:space="preserve">Preventa del taller con precio y lista de espera (mide intención real). Reunión con el profesor para confirmar la regla de decisión. Con los derechos aclarados, adaptar 1 pieza más.</t>
  </si>
  <si>
    <t xml:space="preserve">Preventa abierta; 4 piezas</t>
  </si>
  <si>
    <t xml:space="preserve">K7, K8</t>
  </si>
  <si>
    <t xml:space="preserve">2026-11-02</t>
  </si>
  <si>
    <t xml:space="preserve">Semana 2 a 8 nov</t>
  </si>
  <si>
    <t xml:space="preserve">Medición limpia</t>
  </si>
  <si>
    <t xml:space="preserve">Desde aquí el PMV queda congelado para medir. Cerrar la encuesta (30 respuestas o más) y analizarla.</t>
  </si>
  <si>
    <t xml:space="preserve">Informe de la encuesta</t>
  </si>
  <si>
    <t xml:space="preserve">K2, K7, K9</t>
  </si>
  <si>
    <t xml:space="preserve">2026-11-09</t>
  </si>
  <si>
    <t xml:space="preserve">Semana 9 a 15 nov</t>
  </si>
  <si>
    <t xml:space="preserve">Con 4 semanas de GA4, consolidar KPIs, fijar metas de analítica y completar la hoja Decisiones: continuar, ajustar o pivotar. Adaptar 1 pieza más si hay tiempo.</t>
  </si>
  <si>
    <t xml:space="preserve">Decisión documentada; 5 piezas</t>
  </si>
  <si>
    <t xml:space="preserve">Todos</t>
  </si>
  <si>
    <t xml:space="preserve">2026-11-16</t>
  </si>
  <si>
    <t xml:space="preserve">Semana 16 a 22 nov</t>
  </si>
  <si>
    <t xml:space="preserve">Escritura</t>
  </si>
  <si>
    <t xml:space="preserve">Redactar el recorrido completo: problema, línea de base, intervención, resultados y decisiones.</t>
  </si>
  <si>
    <t xml:space="preserve">Borrador del trabajo final</t>
  </si>
  <si>
    <t xml:space="preserve">2026-11-23</t>
  </si>
  <si>
    <t xml:space="preserve">Semana 23 a 29 nov</t>
  </si>
  <si>
    <t xml:space="preserve">Entrega</t>
  </si>
  <si>
    <t xml:space="preserve">Revisión con el profesor, ajustes y entrega (finales de noviembre o principios de diciembre).</t>
  </si>
  <si>
    <t xml:space="preserve">Trabajo final entregado</t>
  </si>
  <si>
    <t xml:space="preserve">2026-12-01</t>
  </si>
  <si>
    <t xml:space="preserve">Diciembre</t>
  </si>
  <si>
    <t xml:space="preserve">Guion, demostración en vivo del PMV y preguntas difíciles (validez del diseño, muestra pequeña, cambios acumulados).</t>
  </si>
  <si>
    <t xml:space="preserve">Guion y presentación</t>
  </si>
  <si>
    <t xml:space="preserve">2027-01-30</t>
  </si>
  <si>
    <t xml:space="preserve">Sustentación del proyecto.</t>
  </si>
  <si>
    <t xml:space="preserve">Meta de contenido propuesta: 5 piezas con la arquitectura completa a fines de noviembre (las 3 actuales más 2 adaptaciones). Con 5 piezas el sitio de un solo archivo funciona bien: no migrar a una página por pieza hasta pasar de 6. Prioridad: evidencia antes que contenido.</t>
  </si>
  <si>
    <t xml:space="preserve">Lista de archivos del repositorio (trasfondo.github.io)</t>
  </si>
  <si>
    <t xml:space="preserve">Las carpetas y los nombres deben escribirse exactamente así (GitHub distingue mayúsculas). Si subes un archivo con el nombre exacto, la página lo muestra sola: no hay que tocar el HTML. Para cada foto se prueban también las extensiones .jpg, .jpeg, .png y .webp.</t>
  </si>
  <si>
    <t xml:space="preserve">Archivo</t>
  </si>
  <si>
    <t xml:space="preserve">Qué es</t>
  </si>
  <si>
    <t xml:space="preserve">Formato y peso recomendado</t>
  </si>
  <si>
    <t xml:space="preserve">Dónde aparece</t>
  </si>
  <si>
    <t xml:space="preserve">index.html</t>
  </si>
  <si>
    <t xml:space="preserve">Sitio completo, con formulario de correos, índice de capítulos, Google Analytics, portadas, fotos y gráficos enlazados</t>
  </si>
  <si>
    <t xml:space="preserve">Subir ahora</t>
  </si>
  <si>
    <t xml:space="preserve">Todas las pestañas</t>
  </si>
  <si>
    <t xml:space="preserve">og-card.png</t>
  </si>
  <si>
    <t xml:space="preserve">Imagen que aparece cuando se comparte el enlace</t>
  </si>
  <si>
    <t xml:space="preserve">Ya subido</t>
  </si>
  <si>
    <t xml:space="preserve">PNG 1200 × 630</t>
  </si>
  <si>
    <t xml:space="preserve">Vista previa en WhatsApp y redes</t>
  </si>
  <si>
    <t xml:space="preserve">apple-touch-icon.png</t>
  </si>
  <si>
    <t xml:space="preserve">Ícono para la pantalla de inicio del iPhone</t>
  </si>
  <si>
    <t xml:space="preserve">PNG 180 × 180</t>
  </si>
  <si>
    <t xml:space="preserve">Pantalla de inicio</t>
  </si>
  <si>
    <t xml:space="preserve">favicon.svg y favicon-32.png</t>
  </si>
  <si>
    <t xml:space="preserve">Respaldo del ícono de la pestaña (el HTML ya lo trae embebido)</t>
  </si>
  <si>
    <t xml:space="preserve">Pestaña del navegador</t>
  </si>
  <si>
    <t xml:space="preserve">suscripciones.gs</t>
  </si>
  <si>
    <t xml:space="preserve">Código antiguo de suscripción, ya no se usa</t>
  </si>
  <si>
    <t xml:space="preserve">Borrar</t>
  </si>
  <si>
    <t xml:space="preserve">Multimedia HTML/Alejandrofirma.png</t>
  </si>
  <si>
    <t xml:space="preserve">Tu foto circular: firma de cada pieza (pequeña) y sección Quién (grande)</t>
  </si>
  <si>
    <t xml:space="preserve">Subido (verificar)</t>
  </si>
  <si>
    <t xml:space="preserve">PNG cuadrado con el rostro centrado; se recorta en círculo</t>
  </si>
  <si>
    <t xml:space="preserve">Firmas de las piezas y Quién</t>
  </si>
  <si>
    <t xml:space="preserve">Multimedia HTML/Fotos/Choco/FotoChoco0.jpeg</t>
  </si>
  <si>
    <t xml:space="preserve">Portada del Chocó (también el héroe del home). Pie: "Tras el vuelo del 14 de septiembre…" / Cortesía Satena</t>
  </si>
  <si>
    <t xml:space="preserve">JPEG, ancho 1600 px, hasta 300 KB. Se muestra en franja horizontal centrada</t>
  </si>
  <si>
    <t xml:space="preserve">Home y Chocó, antes de "Qué vas a entender"</t>
  </si>
  <si>
    <t xml:space="preserve">Multimedia HTML/Fotos/Choco/FotoChoco1.jpeg</t>
  </si>
  <si>
    <t xml:space="preserve">Alcalde y gobernadora</t>
  </si>
  <si>
    <t xml:space="preserve">JPEG</t>
  </si>
  <si>
    <t xml:space="preserve">Chocó, tras el párrafo "Hoy hay una primera oferta…"</t>
  </si>
  <si>
    <t xml:space="preserve">Multimedia HTML/Fotos/Choco/FotoChoco2.jpeg</t>
  </si>
  <si>
    <t xml:space="preserve">Avión descargado por voluntarios</t>
  </si>
  <si>
    <t xml:space="preserve">Chocó, tras "—No estamos quietos."</t>
  </si>
  <si>
    <t xml:space="preserve">Multimedia HTML/Fotos/Aviturismo/Foto0.jpg</t>
  </si>
  <si>
    <t xml:space="preserve">Portada del aviturismo (colibrí pechirrojo). Crédito: Jorge Muñoz, en @caquetabirding</t>
  </si>
  <si>
    <t xml:space="preserve">JPG</t>
  </si>
  <si>
    <t xml:space="preserve">Aviturismo (antes de "Qué vas a entender") y tarjeta del home</t>
  </si>
  <si>
    <t xml:space="preserve">Multimedia HTML/Fotos/Aviturismo/Foto1.jpg</t>
  </si>
  <si>
    <t xml:space="preserve">Portada de la ruta de Jeanne (dacnis turquesa). Crédito: Jorge Muñoz, en @caquetabirding. No cargaba en la prueba</t>
  </si>
  <si>
    <t xml:space="preserve">Ruta "Con binoculares y pasión", antes del primer párrafo</t>
  </si>
  <si>
    <t xml:space="preserve">Multimedia HTML/Fotos/Aviturismo/Foto2.jpg</t>
  </si>
  <si>
    <t xml:space="preserve">Portada de la ruta de los cantos. Lleva solo el crédito de Jorge Muñoz. No cargaba en la prueba</t>
  </si>
  <si>
    <t xml:space="preserve">Ruta "Lo que los cantos…", antes del primer párrafo</t>
  </si>
  <si>
    <t xml:space="preserve">Multimedia HTML/Fotos/Magda/FotoMagda0.jpg</t>
  </si>
  <si>
    <t xml:space="preserve">Portada de Magda en cabina (se repite al final del texto). Crédito: Cortesía</t>
  </si>
  <si>
    <t xml:space="preserve">Magda y tarjeta del home</t>
  </si>
  <si>
    <t xml:space="preserve">Multimedia HTML/Fotos/Magda/FotoMagda1.jpg</t>
  </si>
  <si>
    <t xml:space="preserve">Arrodillada en la pista con la placa "CADETE RINCÓN"</t>
  </si>
  <si>
    <t xml:space="preserve">Magda, tras "…no estaba allí por cortesía sino por mérito."</t>
  </si>
  <si>
    <t xml:space="preserve">Multimedia HTML/Fotos/Magda/FotoMagda.jpg</t>
  </si>
  <si>
    <t xml:space="preserve">Foto grupal de las siete pilotos (la página también acepta FotoMagda2.jpg)</t>
  </si>
  <si>
    <t xml:space="preserve">Magda, tras "…27,6 % de la Fuerza Aeroespacial Colombiana."</t>
  </si>
  <si>
    <t xml:space="preserve">Multimedia HTML/Fotos/Magda/FotoMagda3.jpg</t>
  </si>
  <si>
    <t xml:space="preserve">Magda al centro del grupo de oficiales</t>
  </si>
  <si>
    <t xml:space="preserve">Magda, tras "…nadie quería ir."</t>
  </si>
  <si>
    <t xml:space="preserve">Gráfico Flourish 25327833</t>
  </si>
  <si>
    <t xml:space="preserve">Gráfico de la ruta de los cantos (enlazado desde internet, sin archivo)</t>
  </si>
  <si>
    <t xml:space="preserve">Ruta de los cantos, tras la cita de Laverde</t>
  </si>
  <si>
    <t xml:space="preserve">Gráfico Flourish 25344702</t>
  </si>
  <si>
    <t xml:space="preserve">Gráfico de la ruta de binoculares (enlazado desde internet)</t>
  </si>
  <si>
    <t xml:space="preserve">Ruta de binoculares, tras el párrafo del Global Big Day</t>
  </si>
  <si>
    <t xml:space="preserve">Mapa Datawrapper 1bK1f</t>
  </si>
  <si>
    <t xml:space="preserve">Mapa de registros de aves en eBird por departamento (enlazado desde internet)</t>
  </si>
  <si>
    <t xml:space="preserve">Ruta de binoculares, tras el párrafo de 2016</t>
  </si>
  <si>
    <t xml:space="preserve">audio/choco.mp3</t>
  </si>
  <si>
    <t xml:space="preserve">Audio de apertura del Chocó: momentos clave con voces de las fuentes</t>
  </si>
  <si>
    <t xml:space="preserve">Pendiente de ti</t>
  </si>
  <si>
    <t xml:space="preserve">MP3 mono 64 a 96 kbps, hasta 4 min</t>
  </si>
  <si>
    <t xml:space="preserve">Chocó, después de "Qué vas a entender"</t>
  </si>
  <si>
    <t xml:space="preserve">audio/gobernadora.mp3</t>
  </si>
  <si>
    <t xml:space="preserve">Clip de la gobernadora respondiendo cómo ha dormido, 30 a 40 s, con cierre natural</t>
  </si>
  <si>
    <t xml:space="preserve">MP3 mono</t>
  </si>
  <si>
    <t xml:space="preserve">Chocó, al cierre</t>
  </si>
  <si>
    <t xml:space="preserve">audio/aviturismo.mp3</t>
  </si>
  <si>
    <t xml:space="preserve">Audio de apertura del aviturismo</t>
  </si>
  <si>
    <t xml:space="preserve">MP3 mono 64 a 96 kbps</t>
  </si>
  <si>
    <t xml:space="preserve">Aviturismo, después de "Qué vas a entender"</t>
  </si>
  <si>
    <t xml:space="preserve">audio/magda.mp3</t>
  </si>
  <si>
    <t xml:space="preserve">Audio de apertura del perfil de Magda</t>
  </si>
  <si>
    <t xml:space="preserve">Magda, después de "Qué vas a entender"</t>
  </si>
  <si>
    <t xml:space="preserve">Para ver los marcadores de lo que falta, abre la página con ?edicion=1 al final del enlace (https://trasfondo.github.io/?edicion=1). En el modo normal, lo que no existe no se muestra.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</si>
</sst>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4A3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777777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2C4A3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4A3E"/>
        <bgColor rgb="FF555555"/>
      </patternFill>
    </fill>
    <fill>
      <patternFill patternType="solid">
        <fgColor rgb="FFFFFF99"/>
        <bgColor rgb="FFEEEEEE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EEEE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C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Línea de base vs meta (sujetos de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KPIs!N4</c:f>
              <c:strCache>
                <c:ptCount val="1"/>
                <c:pt idx="0">
                  <c:v>Línea de base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KPIs!$M$5:$M$9</c:f>
              <c:strCache>
                <c:ptCount val="5"/>
                <c:pt idx="0">
                  <c:v>K1 Atención</c:v>
                </c:pt>
                <c:pt idx="1">
                  <c:v>K2 Marco claro</c:v>
                </c:pt>
                <c:pt idx="2">
                  <c:v>K3 Audio</c:v>
                </c:pt>
                <c:pt idx="3">
                  <c:v>K5 P9</c:v>
                </c:pt>
                <c:pt idx="4">
                  <c:v>K7 Pago multimedia</c:v>
                </c:pt>
              </c:strCache>
            </c:strRef>
          </c:cat>
          <c:val>
            <c:numRef>
              <c:f>KPIs!$N$5:$N$9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1.5</c:v>
                </c:pt>
              </c:numCache>
            </c:numRef>
          </c:val>
        </c:ser>
        <c:ser>
          <c:idx val="1"/>
          <c:order val="1"/>
          <c:tx>
            <c:strRef>
              <c:f>KPIs!O4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KPIs!$M$5:$M$9</c:f>
              <c:strCache>
                <c:ptCount val="5"/>
                <c:pt idx="0">
                  <c:v>K1 Atención</c:v>
                </c:pt>
                <c:pt idx="1">
                  <c:v>K2 Marco claro</c:v>
                </c:pt>
                <c:pt idx="2">
                  <c:v>K3 Audio</c:v>
                </c:pt>
                <c:pt idx="3">
                  <c:v>K5 P9</c:v>
                </c:pt>
                <c:pt idx="4">
                  <c:v>K7 Pago multimedia</c:v>
                </c:pt>
              </c:strCache>
            </c:strRef>
          </c:cat>
          <c:val>
            <c:numRef>
              <c:f>KPIs!$O$5:$O$9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gapWidth val="150"/>
        <c:overlap val="0"/>
        <c:axId val="73437094"/>
        <c:axId val="41290645"/>
      </c:barChart>
      <c:catAx>
        <c:axId val="73437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90645"/>
        <c:crosses val="autoZero"/>
        <c:auto val="1"/>
        <c:lblAlgn val="ctr"/>
        <c:lblOffset val="100"/>
        <c:noMultiLvlLbl val="0"/>
      </c:catAx>
      <c:valAx>
        <c:axId val="41290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Sujetos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37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7</xdr:row>
      <xdr:rowOff>282600</xdr:rowOff>
    </xdr:from>
    <xdr:to>
      <xdr:col>18</xdr:col>
      <xdr:colOff>393120</xdr:colOff>
      <xdr:row>18</xdr:row>
      <xdr:rowOff>21600</xdr:rowOff>
    </xdr:to>
    <xdr:graphicFrame>
      <xdr:nvGraphicFramePr>
        <xdr:cNvPr id="0" name="Chart 1"/>
        <xdr:cNvGraphicFramePr/>
      </xdr:nvGraphicFramePr>
      <xdr:xfrm>
        <a:off x="16329600" y="24573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n">
        <v>1</v>
      </c>
      <c r="B5" s="5" t="s">
        <v>7</v>
      </c>
      <c r="C5" s="4" t="s">
        <v>8</v>
      </c>
      <c r="D5" s="4" t="s">
        <v>9</v>
      </c>
      <c r="E5" s="6" t="s">
        <v>3</v>
      </c>
    </row>
    <row r="6" customFormat="false" ht="15" hidden="false" customHeight="false" outlineLevel="0" collapsed="false">
      <c r="A6" s="4" t="n">
        <v>2</v>
      </c>
      <c r="B6" s="5" t="s">
        <v>10</v>
      </c>
      <c r="C6" s="4" t="s">
        <v>8</v>
      </c>
      <c r="D6" s="4" t="s">
        <v>9</v>
      </c>
      <c r="E6" s="6" t="s">
        <v>3</v>
      </c>
    </row>
    <row r="7" customFormat="false" ht="23.85" hidden="false" customHeight="false" outlineLevel="0" collapsed="false">
      <c r="A7" s="4" t="n">
        <v>3</v>
      </c>
      <c r="B7" s="5" t="s">
        <v>11</v>
      </c>
      <c r="C7" s="4" t="s">
        <v>8</v>
      </c>
      <c r="D7" s="4" t="s">
        <v>9</v>
      </c>
      <c r="E7" s="6" t="s">
        <v>3</v>
      </c>
    </row>
    <row r="8" customFormat="false" ht="23.85" hidden="false" customHeight="false" outlineLevel="0" collapsed="false">
      <c r="A8" s="4" t="n">
        <v>4</v>
      </c>
      <c r="B8" s="5" t="s">
        <v>12</v>
      </c>
      <c r="C8" s="4" t="s">
        <v>8</v>
      </c>
      <c r="D8" s="4" t="s">
        <v>9</v>
      </c>
      <c r="E8" s="6" t="s">
        <v>3</v>
      </c>
    </row>
    <row r="9" customFormat="false" ht="15" hidden="false" customHeight="false" outlineLevel="0" collapsed="false">
      <c r="A9" s="4" t="n">
        <v>5</v>
      </c>
      <c r="B9" s="5" t="s">
        <v>13</v>
      </c>
      <c r="C9" s="4" t="s">
        <v>8</v>
      </c>
      <c r="D9" s="4" t="s">
        <v>9</v>
      </c>
      <c r="E9" s="6" t="s">
        <v>3</v>
      </c>
    </row>
    <row r="10" customFormat="false" ht="23.85" hidden="false" customHeight="false" outlineLevel="0" collapsed="false">
      <c r="A10" s="4" t="n">
        <v>6</v>
      </c>
      <c r="B10" s="5" t="s">
        <v>14</v>
      </c>
      <c r="C10" s="4" t="s">
        <v>8</v>
      </c>
      <c r="D10" s="4" t="s">
        <v>15</v>
      </c>
      <c r="E10" s="6" t="s">
        <v>3</v>
      </c>
    </row>
    <row r="11" customFormat="false" ht="15" hidden="false" customHeight="false" outlineLevel="0" collapsed="false">
      <c r="A11" s="4" t="n">
        <v>7</v>
      </c>
      <c r="B11" s="5" t="s">
        <v>16</v>
      </c>
      <c r="C11" s="4" t="s">
        <v>8</v>
      </c>
      <c r="D11" s="4" t="s">
        <v>9</v>
      </c>
      <c r="E11" s="6" t="s">
        <v>3</v>
      </c>
    </row>
    <row r="12" customFormat="false" ht="15" hidden="false" customHeight="false" outlineLevel="0" collapsed="false">
      <c r="A12" s="4" t="n">
        <v>8</v>
      </c>
      <c r="B12" s="5" t="s">
        <v>17</v>
      </c>
      <c r="C12" s="4" t="s">
        <v>8</v>
      </c>
      <c r="D12" s="4" t="s">
        <v>18</v>
      </c>
      <c r="E12" s="6" t="s">
        <v>3</v>
      </c>
    </row>
    <row r="13" customFormat="false" ht="15" hidden="false" customHeight="false" outlineLevel="0" collapsed="false">
      <c r="A13" s="4" t="n">
        <v>9</v>
      </c>
      <c r="B13" s="5" t="s">
        <v>19</v>
      </c>
      <c r="C13" s="4" t="s">
        <v>20</v>
      </c>
      <c r="D13" s="4" t="s">
        <v>21</v>
      </c>
      <c r="E13" s="6" t="s">
        <v>3</v>
      </c>
    </row>
    <row r="14" customFormat="false" ht="15" hidden="false" customHeight="false" outlineLevel="0" collapsed="false">
      <c r="A14" s="4" t="n">
        <v>10</v>
      </c>
      <c r="B14" s="5" t="s">
        <v>22</v>
      </c>
      <c r="C14" s="4" t="s">
        <v>8</v>
      </c>
      <c r="D14" s="4" t="s">
        <v>23</v>
      </c>
      <c r="E14" s="6" t="s">
        <v>3</v>
      </c>
    </row>
    <row r="15" customFormat="false" ht="15" hidden="false" customHeight="false" outlineLevel="0" collapsed="false">
      <c r="A15" s="4" t="n">
        <v>11</v>
      </c>
      <c r="B15" s="5" t="s">
        <v>24</v>
      </c>
      <c r="C15" s="4" t="s">
        <v>8</v>
      </c>
      <c r="D15" s="4" t="s">
        <v>25</v>
      </c>
      <c r="E15" s="6" t="s">
        <v>3</v>
      </c>
    </row>
    <row r="16" customFormat="false" ht="35.05" hidden="false" customHeight="false" outlineLevel="0" collapsed="false">
      <c r="A16" s="4" t="n">
        <v>12</v>
      </c>
      <c r="B16" s="5" t="s">
        <v>26</v>
      </c>
      <c r="C16" s="4" t="s">
        <v>8</v>
      </c>
      <c r="D16" s="4" t="s">
        <v>27</v>
      </c>
      <c r="E16" s="6" t="s">
        <v>3</v>
      </c>
    </row>
    <row r="17" customFormat="false" ht="35.05" hidden="false" customHeight="false" outlineLevel="0" collapsed="false">
      <c r="A17" s="4" t="n">
        <v>13</v>
      </c>
      <c r="B17" s="5" t="s">
        <v>28</v>
      </c>
      <c r="C17" s="4" t="s">
        <v>8</v>
      </c>
      <c r="D17" s="4" t="s">
        <v>27</v>
      </c>
      <c r="E17" s="6" t="s">
        <v>3</v>
      </c>
    </row>
    <row r="18" customFormat="false" ht="35.05" hidden="false" customHeight="false" outlineLevel="0" collapsed="false">
      <c r="A18" s="4" t="n">
        <v>14</v>
      </c>
      <c r="B18" s="5" t="s">
        <v>29</v>
      </c>
      <c r="C18" s="4" t="s">
        <v>8</v>
      </c>
      <c r="D18" s="4" t="s">
        <v>23</v>
      </c>
      <c r="E18" s="6" t="s">
        <v>3</v>
      </c>
    </row>
    <row r="19" customFormat="false" ht="15" hidden="false" customHeight="false" outlineLevel="0" collapsed="false">
      <c r="A19" s="4" t="n">
        <v>15</v>
      </c>
      <c r="B19" s="5" t="s">
        <v>30</v>
      </c>
      <c r="C19" s="4" t="s">
        <v>8</v>
      </c>
      <c r="D19" s="4" t="s">
        <v>31</v>
      </c>
      <c r="E19" s="6" t="s">
        <v>3</v>
      </c>
    </row>
    <row r="20" customFormat="false" ht="23.85" hidden="false" customHeight="false" outlineLevel="0" collapsed="false">
      <c r="A20" s="4" t="n">
        <v>16</v>
      </c>
      <c r="B20" s="5" t="s">
        <v>32</v>
      </c>
      <c r="C20" s="4" t="s">
        <v>33</v>
      </c>
      <c r="D20" s="4" t="s">
        <v>34</v>
      </c>
      <c r="E20" s="6" t="s">
        <v>3</v>
      </c>
    </row>
    <row r="21" customFormat="false" ht="23.85" hidden="false" customHeight="false" outlineLevel="0" collapsed="false">
      <c r="A21" s="4" t="n">
        <v>17</v>
      </c>
      <c r="B21" s="5" t="s">
        <v>35</v>
      </c>
      <c r="C21" s="4" t="s">
        <v>33</v>
      </c>
      <c r="D21" s="4" t="s">
        <v>34</v>
      </c>
      <c r="E21" s="6" t="s">
        <v>3</v>
      </c>
    </row>
    <row r="22" customFormat="false" ht="15" hidden="false" customHeight="false" outlineLevel="0" collapsed="false">
      <c r="A22" s="4" t="n">
        <v>18</v>
      </c>
      <c r="B22" s="5" t="s">
        <v>36</v>
      </c>
      <c r="C22" s="4" t="s">
        <v>8</v>
      </c>
      <c r="D22" s="4" t="s">
        <v>37</v>
      </c>
      <c r="E22" s="6" t="s">
        <v>3</v>
      </c>
    </row>
    <row r="23" customFormat="false" ht="23.85" hidden="false" customHeight="false" outlineLevel="0" collapsed="false">
      <c r="A23" s="4" t="n">
        <v>19</v>
      </c>
      <c r="B23" s="5" t="s">
        <v>38</v>
      </c>
      <c r="C23" s="4" t="s">
        <v>33</v>
      </c>
      <c r="D23" s="4" t="s">
        <v>34</v>
      </c>
      <c r="E23" s="6" t="s">
        <v>3</v>
      </c>
    </row>
    <row r="24" customFormat="false" ht="15" hidden="false" customHeight="false" outlineLevel="0" collapsed="false">
      <c r="A24" s="4" t="n">
        <v>20</v>
      </c>
      <c r="B24" s="5" t="s">
        <v>39</v>
      </c>
      <c r="C24" s="4" t="s">
        <v>8</v>
      </c>
      <c r="D24" s="4" t="s">
        <v>40</v>
      </c>
      <c r="E24" s="6" t="s">
        <v>3</v>
      </c>
    </row>
    <row r="25" customFormat="false" ht="15" hidden="false" customHeight="false" outlineLevel="0" collapsed="false">
      <c r="A25" s="4" t="n">
        <v>21</v>
      </c>
      <c r="B25" s="5" t="s">
        <v>41</v>
      </c>
      <c r="C25" s="4" t="s">
        <v>8</v>
      </c>
      <c r="D25" s="4" t="s">
        <v>25</v>
      </c>
      <c r="E25" s="6" t="s">
        <v>42</v>
      </c>
    </row>
    <row r="26" customFormat="false" ht="15" hidden="false" customHeight="false" outlineLevel="0" collapsed="false">
      <c r="A26" s="4" t="n">
        <v>22</v>
      </c>
      <c r="B26" s="5" t="s">
        <v>43</v>
      </c>
      <c r="C26" s="4" t="s">
        <v>8</v>
      </c>
      <c r="D26" s="4" t="s">
        <v>44</v>
      </c>
      <c r="E26" s="6" t="s">
        <v>45</v>
      </c>
    </row>
    <row r="27" customFormat="false" ht="15" hidden="false" customHeight="false" outlineLevel="0" collapsed="false">
      <c r="A27" s="4" t="n">
        <v>23</v>
      </c>
      <c r="B27" s="5" t="s">
        <v>46</v>
      </c>
      <c r="C27" s="4" t="s">
        <v>8</v>
      </c>
      <c r="D27" s="4" t="s">
        <v>44</v>
      </c>
      <c r="E27" s="6" t="s">
        <v>45</v>
      </c>
    </row>
    <row r="28" customFormat="false" ht="15" hidden="false" customHeight="false" outlineLevel="0" collapsed="false">
      <c r="A28" s="4" t="n">
        <v>24</v>
      </c>
      <c r="B28" s="5" t="s">
        <v>47</v>
      </c>
      <c r="C28" s="4" t="s">
        <v>8</v>
      </c>
      <c r="D28" s="4" t="s">
        <v>44</v>
      </c>
      <c r="E28" s="6" t="s">
        <v>45</v>
      </c>
    </row>
    <row r="29" customFormat="false" ht="15" hidden="false" customHeight="false" outlineLevel="0" collapsed="false">
      <c r="A29" s="4" t="n">
        <v>25</v>
      </c>
      <c r="B29" s="5" t="s">
        <v>48</v>
      </c>
      <c r="C29" s="4" t="s">
        <v>8</v>
      </c>
      <c r="D29" s="4" t="s">
        <v>49</v>
      </c>
      <c r="E29" s="6" t="s">
        <v>45</v>
      </c>
    </row>
    <row r="30" customFormat="false" ht="15" hidden="false" customHeight="false" outlineLevel="0" collapsed="false">
      <c r="A30" s="4" t="n">
        <v>26</v>
      </c>
      <c r="B30" s="5" t="s">
        <v>50</v>
      </c>
      <c r="C30" s="4" t="s">
        <v>8</v>
      </c>
      <c r="D30" s="4" t="s">
        <v>49</v>
      </c>
      <c r="E30" s="6" t="s">
        <v>45</v>
      </c>
    </row>
    <row r="32" customFormat="false" ht="15" hidden="false" customHeight="false" outlineLevel="0" collapsed="false">
      <c r="A32" s="7" t="s">
        <v>51</v>
      </c>
      <c r="D32" s="7" t="n">
        <f aca="false">COUNTIF(E5:E30,"&lt;&gt;Hecho")-COUNTBLANK(E5:E30)</f>
        <v>21</v>
      </c>
    </row>
  </sheetData>
  <mergeCells count="1">
    <mergeCell ref="A2:E2"/>
  </mergeCells>
  <dataValidations count="1">
    <dataValidation allowBlank="true" errorStyle="stop" operator="between" showDropDown="false" showErrorMessage="false" showInputMessage="false" sqref="E5:E30" type="list">
      <formula1>"Pendiente,En curso,Hecho,Pospuesto"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6" min="5" style="0" width="62"/>
  </cols>
  <sheetData>
    <row r="1" customFormat="false" ht="17.35" hidden="false" customHeight="false" outlineLevel="0" collapsed="false">
      <c r="A1" s="1" t="s">
        <v>52</v>
      </c>
    </row>
    <row r="2" customFormat="false" ht="33.75" hidden="false" customHeight="true" outlineLevel="0" collapsed="false">
      <c r="A2" s="2" t="s">
        <v>53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</row>
    <row r="5" customFormat="false" ht="15" hidden="false" customHeight="false" outlineLevel="0" collapsed="false">
      <c r="A5" s="8" t="s">
        <v>60</v>
      </c>
      <c r="B5" s="9" t="n">
        <v>0.1</v>
      </c>
      <c r="C5" s="9" t="n">
        <v>0.9</v>
      </c>
      <c r="D5" s="10" t="n">
        <f aca="false">B5*C5</f>
        <v>0.09</v>
      </c>
      <c r="E5" s="5" t="s">
        <v>61</v>
      </c>
      <c r="F5" s="5" t="s">
        <v>62</v>
      </c>
    </row>
    <row r="6" customFormat="false" ht="15" hidden="false" customHeight="false" outlineLevel="0" collapsed="false">
      <c r="A6" s="8" t="s">
        <v>63</v>
      </c>
      <c r="B6" s="9" t="n">
        <v>0.08</v>
      </c>
      <c r="C6" s="9" t="n">
        <v>0.85</v>
      </c>
      <c r="D6" s="10" t="n">
        <f aca="false">B6*C6</f>
        <v>0.068</v>
      </c>
      <c r="E6" s="5" t="s">
        <v>64</v>
      </c>
      <c r="F6" s="5" t="s">
        <v>65</v>
      </c>
    </row>
    <row r="7" customFormat="false" ht="23.85" hidden="false" customHeight="false" outlineLevel="0" collapsed="false">
      <c r="A7" s="8" t="s">
        <v>66</v>
      </c>
      <c r="B7" s="9" t="n">
        <v>0.22</v>
      </c>
      <c r="C7" s="9" t="n">
        <v>0.8</v>
      </c>
      <c r="D7" s="10" t="n">
        <f aca="false">B7*C7</f>
        <v>0.176</v>
      </c>
      <c r="E7" s="5" t="s">
        <v>67</v>
      </c>
      <c r="F7" s="5" t="s">
        <v>68</v>
      </c>
    </row>
    <row r="8" customFormat="false" ht="23.85" hidden="false" customHeight="false" outlineLevel="0" collapsed="false">
      <c r="A8" s="8" t="s">
        <v>69</v>
      </c>
      <c r="B8" s="9" t="n">
        <v>0.25</v>
      </c>
      <c r="C8" s="9" t="n">
        <v>0.25</v>
      </c>
      <c r="D8" s="10" t="n">
        <f aca="false">B8*C8</f>
        <v>0.0625</v>
      </c>
      <c r="E8" s="5" t="s">
        <v>70</v>
      </c>
      <c r="F8" s="5" t="s">
        <v>71</v>
      </c>
    </row>
    <row r="9" customFormat="false" ht="15" hidden="false" customHeight="false" outlineLevel="0" collapsed="false">
      <c r="A9" s="8" t="s">
        <v>72</v>
      </c>
      <c r="B9" s="9" t="n">
        <v>0.1</v>
      </c>
      <c r="C9" s="9" t="n">
        <v>0.4</v>
      </c>
      <c r="D9" s="10" t="n">
        <f aca="false">B9*C9</f>
        <v>0.04</v>
      </c>
      <c r="E9" s="5" t="s">
        <v>73</v>
      </c>
      <c r="F9" s="5" t="s">
        <v>74</v>
      </c>
    </row>
    <row r="10" customFormat="false" ht="15" hidden="false" customHeight="false" outlineLevel="0" collapsed="false">
      <c r="A10" s="8" t="s">
        <v>75</v>
      </c>
      <c r="B10" s="9" t="n">
        <v>0.12</v>
      </c>
      <c r="C10" s="9" t="n">
        <v>0.2</v>
      </c>
      <c r="D10" s="10" t="n">
        <f aca="false">B10*C10</f>
        <v>0.024</v>
      </c>
      <c r="E10" s="5" t="s">
        <v>76</v>
      </c>
      <c r="F10" s="5" t="s">
        <v>77</v>
      </c>
    </row>
    <row r="11" customFormat="false" ht="15" hidden="false" customHeight="false" outlineLevel="0" collapsed="false">
      <c r="A11" s="8" t="s">
        <v>78</v>
      </c>
      <c r="B11" s="9" t="n">
        <v>0.08</v>
      </c>
      <c r="C11" s="9" t="n">
        <v>0.15</v>
      </c>
      <c r="D11" s="10" t="n">
        <f aca="false">B11*C11</f>
        <v>0.012</v>
      </c>
      <c r="E11" s="5" t="s">
        <v>79</v>
      </c>
      <c r="F11" s="5" t="s">
        <v>80</v>
      </c>
    </row>
    <row r="12" customFormat="false" ht="15" hidden="false" customHeight="false" outlineLevel="0" collapsed="false">
      <c r="A12" s="8" t="s">
        <v>81</v>
      </c>
      <c r="B12" s="9" t="n">
        <v>0.05</v>
      </c>
      <c r="C12" s="9" t="n">
        <v>0</v>
      </c>
      <c r="D12" s="10" t="n">
        <f aca="false">B12*C12</f>
        <v>0</v>
      </c>
      <c r="E12" s="5" t="s">
        <v>82</v>
      </c>
      <c r="F12" s="5" t="s">
        <v>83</v>
      </c>
    </row>
    <row r="13" customFormat="false" ht="15" hidden="false" customHeight="false" outlineLevel="0" collapsed="false">
      <c r="A13" s="11" t="s">
        <v>84</v>
      </c>
      <c r="B13" s="12" t="n">
        <f aca="false">SUM(B5:B12)</f>
        <v>1</v>
      </c>
      <c r="D13" s="12" t="n">
        <f aca="false">SUMPRODUCT(B5:B12,C5:C12)/SUM(B5:B12)</f>
        <v>0.4725</v>
      </c>
    </row>
    <row r="15" customFormat="false" ht="15" hidden="false" customHeight="false" outlineLevel="0" collapsed="false">
      <c r="A15" s="13" t="s">
        <v>85</v>
      </c>
      <c r="C15" s="14" t="n">
        <f aca="false">C7</f>
        <v>0.8</v>
      </c>
    </row>
    <row r="16" customFormat="false" ht="15" hidden="false" customHeight="false" outlineLevel="0" collapsed="false">
      <c r="A16" s="13" t="s">
        <v>86</v>
      </c>
      <c r="C16" s="14" t="n">
        <f aca="false">C8</f>
        <v>0.25</v>
      </c>
    </row>
    <row r="17" customFormat="false" ht="15" hidden="false" customHeight="false" outlineLevel="0" collapsed="false">
      <c r="A17" s="7" t="s">
        <v>87</v>
      </c>
      <c r="C17" s="14" t="n">
        <f aca="false">C15-C16</f>
        <v>0.55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38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1" t="s">
        <v>88</v>
      </c>
    </row>
    <row r="2" customFormat="false" ht="43.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6</v>
      </c>
      <c r="J4" s="3" t="s">
        <v>98</v>
      </c>
      <c r="K4" s="3" t="s">
        <v>99</v>
      </c>
      <c r="M4" s="15" t="s">
        <v>91</v>
      </c>
      <c r="N4" s="15" t="s">
        <v>95</v>
      </c>
      <c r="O4" s="15" t="s">
        <v>96</v>
      </c>
    </row>
    <row r="5" customFormat="false" ht="23.85" hidden="false" customHeight="false" outlineLevel="0" collapsed="false">
      <c r="A5" s="16" t="s">
        <v>100</v>
      </c>
      <c r="B5" s="5" t="s">
        <v>101</v>
      </c>
      <c r="C5" s="4" t="s">
        <v>102</v>
      </c>
      <c r="D5" s="5" t="s">
        <v>103</v>
      </c>
      <c r="E5" s="5" t="s">
        <v>104</v>
      </c>
      <c r="F5" s="4" t="n">
        <f aca="false">'Línea de base'!D12</f>
        <v>2</v>
      </c>
      <c r="G5" s="6" t="n">
        <v>4</v>
      </c>
      <c r="H5" s="4" t="str">
        <f aca="false">'Retesteo (Sprint 1)'!D13</f>
        <v/>
      </c>
      <c r="I5" s="16" t="str">
        <f aca="false">IF(H5="","Sin dato",IF(H5&gt;=G5,"Cumple",IF(F5="","En curso",IF(H5&gt;F5,"Mejora","Sin mejora"))))</f>
        <v>Sin dato</v>
      </c>
      <c r="J5" s="5" t="s">
        <v>105</v>
      </c>
      <c r="K5" s="17"/>
      <c r="M5" s="13" t="s">
        <v>106</v>
      </c>
      <c r="N5" s="13" t="n">
        <f aca="false">F5</f>
        <v>2</v>
      </c>
      <c r="O5" s="13" t="n">
        <f aca="false">G5</f>
        <v>4</v>
      </c>
    </row>
    <row r="6" customFormat="false" ht="23.85" hidden="false" customHeight="false" outlineLevel="0" collapsed="false">
      <c r="A6" s="16" t="s">
        <v>107</v>
      </c>
      <c r="B6" s="5" t="s">
        <v>108</v>
      </c>
      <c r="C6" s="4" t="s">
        <v>109</v>
      </c>
      <c r="D6" s="5" t="s">
        <v>110</v>
      </c>
      <c r="E6" s="5" t="s">
        <v>111</v>
      </c>
      <c r="F6" s="4" t="n">
        <f aca="false">'Línea de base'!D14</f>
        <v>2</v>
      </c>
      <c r="G6" s="6" t="n">
        <v>4</v>
      </c>
      <c r="H6" s="4" t="str">
        <f aca="false">'Retesteo (Sprint 1)'!D15</f>
        <v/>
      </c>
      <c r="I6" s="16" t="str">
        <f aca="false">IF(H6="","Sin dato",IF(H6&gt;=G6,"Cumple",IF(F6="","En curso",IF(H6&gt;F6,"Mejora","Sin mejora"))))</f>
        <v>Sin dato</v>
      </c>
      <c r="J6" s="5" t="s">
        <v>112</v>
      </c>
      <c r="K6" s="17"/>
      <c r="M6" s="13" t="s">
        <v>113</v>
      </c>
      <c r="N6" s="13" t="n">
        <f aca="false">F6</f>
        <v>2</v>
      </c>
      <c r="O6" s="13" t="n">
        <f aca="false">G6</f>
        <v>4</v>
      </c>
    </row>
    <row r="7" customFormat="false" ht="23.85" hidden="false" customHeight="false" outlineLevel="0" collapsed="false">
      <c r="A7" s="16" t="s">
        <v>114</v>
      </c>
      <c r="B7" s="5" t="s">
        <v>115</v>
      </c>
      <c r="C7" s="4" t="s">
        <v>116</v>
      </c>
      <c r="D7" s="5" t="s">
        <v>117</v>
      </c>
      <c r="E7" s="5" t="s">
        <v>118</v>
      </c>
      <c r="F7" s="4" t="n">
        <f aca="false">'Línea de base'!D13</f>
        <v>1</v>
      </c>
      <c r="G7" s="6" t="n">
        <v>3</v>
      </c>
      <c r="H7" s="4" t="str">
        <f aca="false">'Retesteo (Sprint 1)'!D14</f>
        <v/>
      </c>
      <c r="I7" s="16" t="str">
        <f aca="false">IF(H7="","Sin dato",IF(H7&gt;=G7,"Cumple",IF(F7="","En curso",IF(H7&gt;F7,"Mejora","Sin mejora"))))</f>
        <v>Sin dato</v>
      </c>
      <c r="J7" s="5" t="s">
        <v>119</v>
      </c>
      <c r="K7" s="17"/>
      <c r="M7" s="13" t="s">
        <v>120</v>
      </c>
      <c r="N7" s="13" t="n">
        <f aca="false">F7</f>
        <v>1</v>
      </c>
      <c r="O7" s="13" t="n">
        <f aca="false">G7</f>
        <v>3</v>
      </c>
    </row>
    <row r="8" customFormat="false" ht="23.85" hidden="false" customHeight="false" outlineLevel="0" collapsed="false">
      <c r="A8" s="16" t="s">
        <v>121</v>
      </c>
      <c r="B8" s="5" t="s">
        <v>122</v>
      </c>
      <c r="C8" s="4" t="s">
        <v>123</v>
      </c>
      <c r="D8" s="5" t="s">
        <v>124</v>
      </c>
      <c r="E8" s="5" t="s">
        <v>125</v>
      </c>
      <c r="F8" s="4"/>
      <c r="G8" s="6" t="n">
        <v>5</v>
      </c>
      <c r="H8" s="4" t="str">
        <f aca="false">'Retesteo (Sprint 1)'!D16</f>
        <v/>
      </c>
      <c r="I8" s="16" t="str">
        <f aca="false">IF(H8="","Sin dato",IF(H8&gt;=G8,"Cumple",IF(F8="","En curso",IF(H8&gt;F8,"Mejora","Sin mejora"))))</f>
        <v>Sin dato</v>
      </c>
      <c r="J8" s="5" t="s">
        <v>126</v>
      </c>
      <c r="K8" s="17" t="s">
        <v>127</v>
      </c>
      <c r="M8" s="13" t="s">
        <v>128</v>
      </c>
      <c r="N8" s="13" t="n">
        <f aca="false">F9</f>
        <v>5</v>
      </c>
      <c r="O8" s="13" t="n">
        <f aca="false">G9</f>
        <v>4</v>
      </c>
    </row>
    <row r="9" customFormat="false" ht="23.85" hidden="false" customHeight="false" outlineLevel="0" collapsed="false">
      <c r="A9" s="16" t="s">
        <v>129</v>
      </c>
      <c r="B9" s="5" t="s">
        <v>130</v>
      </c>
      <c r="C9" s="4" t="s">
        <v>123</v>
      </c>
      <c r="D9" s="5" t="s">
        <v>131</v>
      </c>
      <c r="E9" s="5" t="s">
        <v>132</v>
      </c>
      <c r="F9" s="4" t="n">
        <f aca="false">'Línea de base'!D15</f>
        <v>5</v>
      </c>
      <c r="G9" s="6" t="n">
        <v>4</v>
      </c>
      <c r="H9" s="4" t="str">
        <f aca="false">'Retesteo (Sprint 1)'!D17</f>
        <v/>
      </c>
      <c r="I9" s="16" t="str">
        <f aca="false">IF(H9="","Sin dato",IF(H9&gt;=G9,"Cumple",IF(F9="","En curso",IF(H9&gt;F9,"Mejora","Sin mejora"))))</f>
        <v>Sin dato</v>
      </c>
      <c r="J9" s="5" t="s">
        <v>133</v>
      </c>
      <c r="K9" s="17"/>
      <c r="M9" s="13" t="s">
        <v>134</v>
      </c>
      <c r="N9" s="13" t="n">
        <f aca="false">F11</f>
        <v>1.5</v>
      </c>
      <c r="O9" s="13" t="n">
        <f aca="false">G11</f>
        <v>3</v>
      </c>
    </row>
    <row r="10" customFormat="false" ht="23.85" hidden="false" customHeight="false" outlineLevel="0" collapsed="false">
      <c r="A10" s="16" t="s">
        <v>135</v>
      </c>
      <c r="B10" s="5" t="s">
        <v>136</v>
      </c>
      <c r="C10" s="4" t="s">
        <v>137</v>
      </c>
      <c r="D10" s="5" t="s">
        <v>138</v>
      </c>
      <c r="E10" s="5" t="s">
        <v>139</v>
      </c>
      <c r="F10" s="4"/>
      <c r="G10" s="6" t="n">
        <v>4</v>
      </c>
      <c r="H10" s="4" t="str">
        <f aca="false">'Retesteo (Sprint 1)'!D18</f>
        <v/>
      </c>
      <c r="I10" s="16" t="str">
        <f aca="false">IF(H10="","Sin dato",IF(H10&gt;=G10,"Cumple",IF(F10="","En curso",IF(H10&gt;F10,"Mejora","Sin mejora"))))</f>
        <v>Sin dato</v>
      </c>
      <c r="J10" s="5" t="s">
        <v>140</v>
      </c>
      <c r="K10" s="17" t="s">
        <v>141</v>
      </c>
    </row>
    <row r="11" customFormat="false" ht="23.85" hidden="false" customHeight="false" outlineLevel="0" collapsed="false">
      <c r="A11" s="16" t="s">
        <v>142</v>
      </c>
      <c r="B11" s="5" t="s">
        <v>143</v>
      </c>
      <c r="C11" s="4" t="s">
        <v>144</v>
      </c>
      <c r="D11" s="5" t="s">
        <v>145</v>
      </c>
      <c r="E11" s="5" t="s">
        <v>146</v>
      </c>
      <c r="F11" s="4" t="n">
        <v>1.5</v>
      </c>
      <c r="G11" s="6" t="n">
        <v>3</v>
      </c>
      <c r="H11" s="4" t="str">
        <f aca="false">'Retesteo (Sprint 1)'!D19</f>
        <v/>
      </c>
      <c r="I11" s="16" t="str">
        <f aca="false">IF(H11="","Sin dato",IF(H11&gt;=G11,"Cumple",IF(F11="","En curso",IF(H11&gt;F11,"Mejora","Sin mejora"))))</f>
        <v>Sin dato</v>
      </c>
      <c r="J11" s="5" t="s">
        <v>147</v>
      </c>
      <c r="K11" s="17" t="s">
        <v>148</v>
      </c>
    </row>
    <row r="12" customFormat="false" ht="23.85" hidden="false" customHeight="false" outlineLevel="0" collapsed="false">
      <c r="A12" s="16" t="s">
        <v>149</v>
      </c>
      <c r="B12" s="5" t="s">
        <v>150</v>
      </c>
      <c r="C12" s="4" t="s">
        <v>151</v>
      </c>
      <c r="D12" s="5" t="s">
        <v>152</v>
      </c>
      <c r="E12" s="5" t="s">
        <v>153</v>
      </c>
      <c r="F12" s="4"/>
      <c r="G12" s="6" t="n">
        <v>2</v>
      </c>
      <c r="H12" s="4" t="str">
        <f aca="false">'Retesteo (Sprint 1)'!D20</f>
        <v/>
      </c>
      <c r="I12" s="16" t="str">
        <f aca="false">IF(H12="","Sin dato",IF(H12&gt;=G12,"Cumple",IF(F12="","En curso",IF(H12&gt;F12,"Mejora","Sin mejora"))))</f>
        <v>Sin dato</v>
      </c>
      <c r="J12" s="5" t="s">
        <v>154</v>
      </c>
      <c r="K12" s="17" t="s">
        <v>155</v>
      </c>
    </row>
    <row r="13" customFormat="false" ht="23.85" hidden="false" customHeight="false" outlineLevel="0" collapsed="false">
      <c r="A13" s="16" t="s">
        <v>156</v>
      </c>
      <c r="B13" s="5" t="s">
        <v>157</v>
      </c>
      <c r="C13" s="4" t="s">
        <v>158</v>
      </c>
      <c r="D13" s="5" t="s">
        <v>159</v>
      </c>
      <c r="E13" s="5" t="s">
        <v>160</v>
      </c>
      <c r="F13" s="4"/>
      <c r="G13" s="6" t="n">
        <v>2</v>
      </c>
      <c r="H13" s="4" t="str">
        <f aca="false">'Retesteo (Sprint 1)'!D21</f>
        <v/>
      </c>
      <c r="I13" s="16" t="str">
        <f aca="false">IF(H13="","Sin dato",IF(H13&gt;=G13,"Cumple",IF(F13="","En curso",IF(H13&gt;F13,"Mejora","Sin mejora"))))</f>
        <v>Sin dato</v>
      </c>
      <c r="J13" s="5" t="s">
        <v>161</v>
      </c>
      <c r="K13" s="17" t="s">
        <v>162</v>
      </c>
    </row>
    <row r="15" customFormat="false" ht="15" hidden="false" customHeight="false" outlineLevel="0" collapsed="false">
      <c r="A15" s="7" t="s">
        <v>163</v>
      </c>
    </row>
    <row r="16" customFormat="false" ht="30" hidden="false" customHeight="true" outlineLevel="0" collapsed="false">
      <c r="A16" s="2" t="s">
        <v>164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mergeCells count="2">
    <mergeCell ref="A2:K2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165</v>
      </c>
    </row>
    <row r="2" customFormat="false" ht="42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customFormat="false" ht="15" hidden="false" customHeight="false" outlineLevel="0" collapsed="false">
      <c r="A5" s="4" t="s">
        <v>175</v>
      </c>
      <c r="B5" s="4" t="s">
        <v>176</v>
      </c>
      <c r="C5" s="4" t="s">
        <v>177</v>
      </c>
      <c r="D5" s="4" t="s">
        <v>178</v>
      </c>
      <c r="E5" s="4" t="s">
        <v>179</v>
      </c>
      <c r="F5" s="5" t="s">
        <v>180</v>
      </c>
      <c r="G5" s="4" t="s">
        <v>177</v>
      </c>
      <c r="H5" s="4" t="s">
        <v>180</v>
      </c>
    </row>
    <row r="6" customFormat="false" ht="23.85" hidden="false" customHeight="false" outlineLevel="0" collapsed="false">
      <c r="A6" s="4" t="s">
        <v>181</v>
      </c>
      <c r="B6" s="4" t="s">
        <v>177</v>
      </c>
      <c r="C6" s="4" t="s">
        <v>176</v>
      </c>
      <c r="D6" s="4" t="s">
        <v>182</v>
      </c>
      <c r="E6" s="4" t="s">
        <v>179</v>
      </c>
      <c r="F6" s="5" t="s">
        <v>183</v>
      </c>
      <c r="G6" s="4" t="s">
        <v>177</v>
      </c>
      <c r="H6" s="4" t="s">
        <v>184</v>
      </c>
    </row>
    <row r="7" customFormat="false" ht="23.85" hidden="false" customHeight="false" outlineLevel="0" collapsed="false">
      <c r="A7" s="4" t="s">
        <v>185</v>
      </c>
      <c r="B7" s="4" t="s">
        <v>177</v>
      </c>
      <c r="C7" s="4" t="s">
        <v>176</v>
      </c>
      <c r="D7" s="4" t="s">
        <v>186</v>
      </c>
      <c r="E7" s="4" t="s">
        <v>179</v>
      </c>
      <c r="F7" s="5" t="s">
        <v>187</v>
      </c>
      <c r="G7" s="4" t="s">
        <v>177</v>
      </c>
      <c r="H7" s="4" t="s">
        <v>180</v>
      </c>
    </row>
    <row r="8" customFormat="false" ht="15" hidden="false" customHeight="false" outlineLevel="0" collapsed="false">
      <c r="A8" s="4" t="s">
        <v>188</v>
      </c>
      <c r="B8" s="4" t="s">
        <v>177</v>
      </c>
      <c r="C8" s="4" t="s">
        <v>176</v>
      </c>
      <c r="D8" s="4" t="s">
        <v>189</v>
      </c>
      <c r="E8" s="4" t="s">
        <v>179</v>
      </c>
      <c r="F8" s="5" t="s">
        <v>190</v>
      </c>
      <c r="G8" s="4" t="s">
        <v>177</v>
      </c>
      <c r="H8" s="4" t="s">
        <v>180</v>
      </c>
    </row>
    <row r="9" customFormat="false" ht="15" hidden="false" customHeight="false" outlineLevel="0" collapsed="false">
      <c r="A9" s="4" t="s">
        <v>191</v>
      </c>
      <c r="B9" s="4" t="s">
        <v>176</v>
      </c>
      <c r="C9" s="4" t="s">
        <v>176</v>
      </c>
      <c r="D9" s="4" t="s">
        <v>186</v>
      </c>
      <c r="E9" s="4" t="s">
        <v>179</v>
      </c>
      <c r="F9" s="5" t="s">
        <v>192</v>
      </c>
      <c r="G9" s="4" t="s">
        <v>177</v>
      </c>
      <c r="H9" s="4" t="s">
        <v>193</v>
      </c>
    </row>
    <row r="11" customFormat="false" ht="15" hidden="false" customHeight="false" outlineLevel="0" collapsed="false">
      <c r="A11" s="7" t="s">
        <v>194</v>
      </c>
    </row>
    <row r="12" customFormat="false" ht="15" hidden="false" customHeight="false" outlineLevel="0" collapsed="false">
      <c r="A12" s="18" t="s">
        <v>195</v>
      </c>
      <c r="B12" s="18"/>
      <c r="C12" s="18"/>
      <c r="D12" s="19" t="n">
        <f aca="false">COUNTIF(B5:B9,"No")</f>
        <v>2</v>
      </c>
    </row>
    <row r="13" customFormat="false" ht="15" hidden="false" customHeight="false" outlineLevel="0" collapsed="false">
      <c r="A13" s="18" t="s">
        <v>196</v>
      </c>
      <c r="B13" s="18"/>
      <c r="C13" s="18"/>
      <c r="D13" s="19" t="n">
        <f aca="false">COUNTIF(C5:C9,"Sí")</f>
        <v>1</v>
      </c>
    </row>
    <row r="14" customFormat="false" ht="15" hidden="false" customHeight="false" outlineLevel="0" collapsed="false">
      <c r="A14" s="18" t="s">
        <v>197</v>
      </c>
      <c r="B14" s="18"/>
      <c r="C14" s="18"/>
      <c r="D14" s="19" t="n">
        <f aca="false">COUNTIF(D5:D9,"Clara")</f>
        <v>2</v>
      </c>
    </row>
    <row r="15" customFormat="false" ht="15" hidden="false" customHeight="false" outlineLevel="0" collapsed="false">
      <c r="A15" s="18" t="s">
        <v>198</v>
      </c>
      <c r="B15" s="18"/>
      <c r="C15" s="18"/>
      <c r="D15" s="19" t="n">
        <f aca="false">COUNTIF(E5:E9,"Positiva")</f>
        <v>5</v>
      </c>
    </row>
    <row r="16" customFormat="false" ht="15" hidden="false" customHeight="false" outlineLevel="0" collapsed="false">
      <c r="A16" s="18" t="s">
        <v>199</v>
      </c>
      <c r="B16" s="18"/>
      <c r="C16" s="18"/>
      <c r="D16" s="19" t="n">
        <f aca="false">COUNTIF(G5:G9,"Sí")</f>
        <v>5</v>
      </c>
    </row>
    <row r="18" customFormat="false" ht="30" hidden="false" customHeight="true" outlineLevel="0" collapsed="false">
      <c r="A18" s="2" t="s">
        <v>200</v>
      </c>
      <c r="B18" s="2"/>
      <c r="C18" s="2"/>
      <c r="D18" s="2"/>
      <c r="E18" s="2"/>
      <c r="F18" s="2"/>
      <c r="G18" s="2"/>
      <c r="H18" s="2"/>
    </row>
  </sheetData>
  <mergeCells count="7">
    <mergeCell ref="A2:H2"/>
    <mergeCell ref="A12:C12"/>
    <mergeCell ref="A13:C13"/>
    <mergeCell ref="A14:C14"/>
    <mergeCell ref="A15:C15"/>
    <mergeCell ref="A16:C16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201</v>
      </c>
    </row>
    <row r="2" customFormat="false" ht="39.75" hidden="false" customHeight="true" outlineLevel="0" collapsed="false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3" t="s">
        <v>167</v>
      </c>
      <c r="B4" s="3" t="s">
        <v>203</v>
      </c>
      <c r="C4" s="3" t="s">
        <v>168</v>
      </c>
      <c r="D4" s="3" t="s">
        <v>169</v>
      </c>
      <c r="E4" s="3" t="s">
        <v>204</v>
      </c>
      <c r="F4" s="3" t="s">
        <v>205</v>
      </c>
      <c r="G4" s="3" t="s">
        <v>171</v>
      </c>
      <c r="H4" s="3" t="s">
        <v>206</v>
      </c>
      <c r="I4" s="3" t="s">
        <v>207</v>
      </c>
      <c r="J4" s="3" t="s">
        <v>208</v>
      </c>
      <c r="K4" s="3" t="s">
        <v>209</v>
      </c>
    </row>
    <row r="5" customFormat="false" ht="15" hidden="false" customHeight="false" outlineLevel="0" collapsed="false">
      <c r="A5" s="20" t="s">
        <v>210</v>
      </c>
      <c r="B5" s="20" t="s">
        <v>211</v>
      </c>
      <c r="C5" s="20" t="s">
        <v>176</v>
      </c>
      <c r="D5" s="20" t="s">
        <v>177</v>
      </c>
      <c r="E5" s="20" t="s">
        <v>186</v>
      </c>
      <c r="F5" s="20" t="s">
        <v>177</v>
      </c>
      <c r="G5" s="20" t="s">
        <v>179</v>
      </c>
      <c r="H5" s="20" t="n">
        <v>9</v>
      </c>
      <c r="I5" s="20" t="s">
        <v>177</v>
      </c>
      <c r="J5" s="20" t="s">
        <v>176</v>
      </c>
      <c r="K5" s="20" t="s">
        <v>177</v>
      </c>
    </row>
    <row r="6" customFormat="false" ht="15" hidden="false" customHeight="false" outlineLevel="0" collapsed="false">
      <c r="A6" s="19" t="s">
        <v>175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15" hidden="false" customHeight="false" outlineLevel="0" collapsed="false">
      <c r="A7" s="19" t="s">
        <v>181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15" hidden="false" customHeight="false" outlineLevel="0" collapsed="false">
      <c r="A8" s="19" t="s">
        <v>185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15" hidden="false" customHeight="false" outlineLevel="0" collapsed="false">
      <c r="A9" s="19" t="s">
        <v>188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customFormat="false" ht="15" hidden="false" customHeight="false" outlineLevel="0" collapsed="false">
      <c r="A10" s="19" t="s">
        <v>191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2" customFormat="false" ht="15" hidden="false" customHeight="false" outlineLevel="0" collapsed="false">
      <c r="A12" s="7" t="s">
        <v>194</v>
      </c>
    </row>
    <row r="13" customFormat="false" ht="15" hidden="false" customHeight="false" outlineLevel="0" collapsed="false">
      <c r="A13" s="18" t="s">
        <v>195</v>
      </c>
      <c r="B13" s="18"/>
      <c r="C13" s="18"/>
      <c r="D13" s="19" t="str">
        <f aca="false">IF(COUNTA(C6:C10)=0,"",COUNTIF(C6:C10,"No"))</f>
        <v/>
      </c>
    </row>
    <row r="14" customFormat="false" ht="15" hidden="false" customHeight="false" outlineLevel="0" collapsed="false">
      <c r="A14" s="18" t="s">
        <v>196</v>
      </c>
      <c r="B14" s="18"/>
      <c r="C14" s="18"/>
      <c r="D14" s="19" t="str">
        <f aca="false">IF(COUNTA(D6:D10)=0,"",COUNTIF(D6:D10,"Sí"))</f>
        <v/>
      </c>
    </row>
    <row r="15" customFormat="false" ht="15" hidden="false" customHeight="false" outlineLevel="0" collapsed="false">
      <c r="A15" s="18" t="s">
        <v>197</v>
      </c>
      <c r="B15" s="18"/>
      <c r="C15" s="18"/>
      <c r="D15" s="19" t="str">
        <f aca="false">IF(COUNTA(E6:E10)=0,"",COUNTIF(E6:E10,"Clara"))</f>
        <v/>
      </c>
    </row>
    <row r="16" customFormat="false" ht="15" hidden="false" customHeight="false" outlineLevel="0" collapsed="false">
      <c r="A16" s="18" t="s">
        <v>212</v>
      </c>
      <c r="B16" s="18"/>
      <c r="C16" s="18"/>
      <c r="D16" s="19" t="str">
        <f aca="false">IF(COUNTA(F6:F10)=0,"",COUNTIF(F6:F10,"Sí"))</f>
        <v/>
      </c>
    </row>
    <row r="17" customFormat="false" ht="15" hidden="false" customHeight="false" outlineLevel="0" collapsed="false">
      <c r="A17" s="18" t="s">
        <v>198</v>
      </c>
      <c r="B17" s="18"/>
      <c r="C17" s="18"/>
      <c r="D17" s="19" t="str">
        <f aca="false">IF(COUNTA(G6:G10)=0,"",COUNTIF(G6:G10,"Positiva"))</f>
        <v/>
      </c>
    </row>
    <row r="18" customFormat="false" ht="15" hidden="false" customHeight="false" outlineLevel="0" collapsed="false">
      <c r="A18" s="18" t="s">
        <v>213</v>
      </c>
      <c r="B18" s="18"/>
      <c r="C18" s="18"/>
      <c r="D18" s="19" t="str">
        <f aca="false">IF(COUNT(H6:H10)=0,"",COUNTIF(H6:H10,"&gt;7"))</f>
        <v/>
      </c>
    </row>
    <row r="19" customFormat="false" ht="15" hidden="false" customHeight="false" outlineLevel="0" collapsed="false">
      <c r="A19" s="18" t="s">
        <v>214</v>
      </c>
      <c r="B19" s="18"/>
      <c r="C19" s="18"/>
      <c r="D19" s="19" t="str">
        <f aca="false">IF(COUNTA(I6:I10)=0,"",COUNTIF(I6:I10,"Sí"))</f>
        <v/>
      </c>
    </row>
    <row r="20" customFormat="false" ht="15" hidden="false" customHeight="false" outlineLevel="0" collapsed="false">
      <c r="A20" s="18" t="s">
        <v>215</v>
      </c>
      <c r="B20" s="18"/>
      <c r="C20" s="18"/>
      <c r="D20" s="19" t="str">
        <f aca="false">IF(COUNTA(J6:J10)=0,"",COUNTIF(J6:J10,"Sí"))</f>
        <v/>
      </c>
    </row>
    <row r="21" customFormat="false" ht="15" hidden="false" customHeight="false" outlineLevel="0" collapsed="false">
      <c r="A21" s="18" t="s">
        <v>216</v>
      </c>
      <c r="B21" s="18"/>
      <c r="C21" s="18"/>
      <c r="D21" s="19" t="str">
        <f aca="false">IF(COUNTA(K6:K10)=0,"",COUNTIF(K6:K10,"Sí"))</f>
        <v/>
      </c>
    </row>
  </sheetData>
  <mergeCells count="10">
    <mergeCell ref="A2:K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</mergeCells>
  <dataValidations count="8">
    <dataValidation allowBlank="true" errorStyle="stop" operator="between" showDropDown="false" showErrorMessage="false" showInputMessage="false" sqref="C6:C10" type="list">
      <formula1>"Sí,No"</formula1>
      <formula2>0</formula2>
    </dataValidation>
    <dataValidation allowBlank="true" errorStyle="stop" operator="between" showDropDown="false" showErrorMessage="false" showInputMessage="false" sqref="D6:D10" type="list">
      <formula1>"Sí,No"</formula1>
      <formula2>0</formula2>
    </dataValidation>
    <dataValidation allowBlank="true" errorStyle="stop" operator="between" showDropDown="false" showErrorMessage="false" showInputMessage="false" sqref="E6:E10" type="list">
      <formula1>"Clara,Parcial,Emocional,No"</formula1>
      <formula2>0</formula2>
    </dataValidation>
    <dataValidation allowBlank="true" errorStyle="stop" operator="between" showDropDown="false" showErrorMessage="false" showInputMessage="false" sqref="F6:F10" type="list">
      <formula1>"Sí,No"</formula1>
      <formula2>0</formula2>
    </dataValidation>
    <dataValidation allowBlank="true" errorStyle="stop" operator="between" showDropDown="false" showErrorMessage="false" showInputMessage="false" sqref="G6:G10" type="list">
      <formula1>"Positiva,Neutra,Negativa"</formula1>
      <formula2>0</formula2>
    </dataValidation>
    <dataValidation allowBlank="true" errorStyle="stop" operator="between" showDropDown="false" showErrorMessage="false" showInputMessage="false" sqref="I6:I10" type="list">
      <formula1>"Sí,No,Condicionado"</formula1>
      <formula2>0</formula2>
    </dataValidation>
    <dataValidation allowBlank="true" errorStyle="stop" operator="between" showDropDown="false" showErrorMessage="false" showInputMessage="false" sqref="J6:J10" type="list">
      <formula1>"Sí,No"</formula1>
      <formula2>0</formula2>
    </dataValidation>
    <dataValidation allowBlank="true" errorStyle="stop" operator="between" showDropDown="false" showErrorMessage="false" showInputMessage="false" sqref="K6:K1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11" min="8" style="0" width="10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217</v>
      </c>
    </row>
    <row r="2" customFormat="false" ht="39.75" hidden="false" customHeight="tru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3" t="s">
        <v>219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  <c r="I4" s="3" t="s">
        <v>227</v>
      </c>
      <c r="J4" s="3" t="s">
        <v>228</v>
      </c>
      <c r="K4" s="3" t="s">
        <v>229</v>
      </c>
      <c r="L4" s="3" t="s">
        <v>230</v>
      </c>
      <c r="M4" s="3" t="s">
        <v>231</v>
      </c>
      <c r="N4" s="3" t="s">
        <v>232</v>
      </c>
    </row>
    <row r="5" customFormat="false" ht="15" hidden="false" customHeight="false" outlineLevel="0" collapsed="false">
      <c r="A5" s="20" t="s">
        <v>210</v>
      </c>
      <c r="B5" s="20" t="n">
        <v>40</v>
      </c>
      <c r="C5" s="20" t="n">
        <v>30</v>
      </c>
      <c r="D5" s="20" t="n">
        <v>24</v>
      </c>
      <c r="E5" s="20" t="n">
        <v>18</v>
      </c>
      <c r="F5" s="20" t="n">
        <v>13</v>
      </c>
      <c r="G5" s="20" t="n">
        <v>9</v>
      </c>
      <c r="H5" s="20" t="n">
        <v>12</v>
      </c>
      <c r="I5" s="20" t="n">
        <v>11</v>
      </c>
      <c r="J5" s="20" t="n">
        <v>3</v>
      </c>
      <c r="K5" s="20" t="n">
        <v>2</v>
      </c>
      <c r="L5" s="20" t="n">
        <v>2</v>
      </c>
      <c r="M5" s="21" t="n">
        <f aca="false">IF(C5=0,"",E5/C5)</f>
        <v>0.6</v>
      </c>
      <c r="N5" s="21" t="n">
        <f aca="false">IF(C5=0,"",G5/C5)</f>
        <v>0.3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21" t="str">
        <f aca="false">IF(N(C6)=0,"",E6/C6)</f>
        <v/>
      </c>
      <c r="N6" s="21" t="str">
        <f aca="false">IF(N(C6)=0,"",G6/C6)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21" t="str">
        <f aca="false">IF(N(C7)=0,"",E7/C7)</f>
        <v/>
      </c>
      <c r="N7" s="21" t="str">
        <f aca="false">IF(N(C7)=0,"",G7/C7)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21" t="str">
        <f aca="false">IF(N(C8)=0,"",E8/C8)</f>
        <v/>
      </c>
      <c r="N8" s="21" t="str">
        <f aca="false">IF(N(C8)=0,"",G8/C8)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21" t="str">
        <f aca="false">IF(N(C9)=0,"",E9/C9)</f>
        <v/>
      </c>
      <c r="N9" s="21" t="str">
        <f aca="false">IF(N(C9)=0,"",G9/C9)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1" t="str">
        <f aca="false">IF(N(C10)=0,"",E10/C10)</f>
        <v/>
      </c>
      <c r="N10" s="21" t="str">
        <f aca="false">IF(N(C10)=0,"",G10/C10)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21" t="str">
        <f aca="false">IF(N(C11)=0,"",E11/C11)</f>
        <v/>
      </c>
      <c r="N11" s="21" t="str">
        <f aca="false">IF(N(C11)=0,"",G11/C11)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1" t="str">
        <f aca="false">IF(N(C12)=0,"",E12/C12)</f>
        <v/>
      </c>
      <c r="N12" s="21" t="str">
        <f aca="false">IF(N(C12)=0,"",G12/C12)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21" t="str">
        <f aca="false">IF(N(C13)=0,"",E13/C13)</f>
        <v/>
      </c>
      <c r="N13" s="21" t="str">
        <f aca="false">IF(N(C13)=0,"",G13/C13)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21" t="str">
        <f aca="false">IF(N(C14)=0,"",E14/C14)</f>
        <v/>
      </c>
      <c r="N14" s="21" t="str">
        <f aca="false">IF(N(C14)=0,"",G14/C14)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21" t="str">
        <f aca="false">IF(N(C15)=0,"",E15/C15)</f>
        <v/>
      </c>
      <c r="N15" s="21" t="str">
        <f aca="false">IF(N(C15)=0,"",G15/C15)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21" t="str">
        <f aca="false">IF(N(C16)=0,"",E16/C16)</f>
        <v/>
      </c>
      <c r="N16" s="21" t="str">
        <f aca="false">IF(N(C16)=0,"",G16/C16)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21" t="str">
        <f aca="false">IF(N(C17)=0,"",E17/C17)</f>
        <v/>
      </c>
      <c r="N17" s="21" t="str">
        <f aca="false">IF(N(C17)=0,"",G17/C17)</f>
        <v/>
      </c>
    </row>
    <row r="19" customFormat="false" ht="15" hidden="false" customHeight="false" outlineLevel="0" collapsed="false">
      <c r="A19" s="7" t="s">
        <v>233</v>
      </c>
    </row>
    <row r="20" customFormat="false" ht="43.5" hidden="false" customHeight="true" outlineLevel="0" collapsed="false">
      <c r="A20" s="2" t="s">
        <v>234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2" t="s">
        <v>235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</sheetData>
  <mergeCells count="3">
    <mergeCell ref="A2:N2"/>
    <mergeCell ref="A20:N20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7" min="11" style="0" width="14"/>
  </cols>
  <sheetData>
    <row r="1" customFormat="false" ht="17.35" hidden="false" customHeight="false" outlineLevel="0" collapsed="false">
      <c r="A1" s="1" t="s">
        <v>236</v>
      </c>
    </row>
    <row r="2" customFormat="false" ht="42" hidden="false" customHeight="true" outlineLevel="0" collapsed="false">
      <c r="A2" s="2" t="s">
        <v>237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5" hidden="false" customHeight="false" outlineLevel="0" collapsed="false">
      <c r="A4" s="3" t="s">
        <v>238</v>
      </c>
      <c r="B4" s="3" t="s">
        <v>239</v>
      </c>
    </row>
    <row r="5" customFormat="false" ht="15" hidden="false" customHeight="false" outlineLevel="0" collapsed="false">
      <c r="A5" s="13" t="s">
        <v>240</v>
      </c>
      <c r="B5" s="23" t="n">
        <v>6</v>
      </c>
    </row>
    <row r="6" customFormat="false" ht="15" hidden="false" customHeight="false" outlineLevel="0" collapsed="false">
      <c r="A6" s="13" t="s">
        <v>241</v>
      </c>
      <c r="B6" s="23" t="n">
        <v>95</v>
      </c>
    </row>
    <row r="7" customFormat="false" ht="15" hidden="false" customHeight="false" outlineLevel="0" collapsed="false">
      <c r="A7" s="13" t="s">
        <v>242</v>
      </c>
      <c r="B7" s="23" t="s">
        <v>82</v>
      </c>
    </row>
    <row r="8" customFormat="false" ht="15" hidden="false" customHeight="false" outlineLevel="0" collapsed="false">
      <c r="A8" s="13" t="s">
        <v>243</v>
      </c>
      <c r="B8" s="24" t="n">
        <v>0.5</v>
      </c>
    </row>
    <row r="9" customFormat="false" ht="15" hidden="false" customHeight="false" outlineLevel="0" collapsed="false">
      <c r="A9" s="13" t="s">
        <v>244</v>
      </c>
      <c r="B9" s="23" t="s">
        <v>245</v>
      </c>
    </row>
    <row r="11" customFormat="false" ht="23.85" hidden="false" customHeight="false" outlineLevel="0" collapsed="false">
      <c r="A11" s="3" t="s">
        <v>246</v>
      </c>
      <c r="B11" s="3" t="s">
        <v>247</v>
      </c>
      <c r="C11" s="3" t="s">
        <v>248</v>
      </c>
      <c r="D11" s="3" t="s">
        <v>249</v>
      </c>
      <c r="E11" s="3" t="s">
        <v>250</v>
      </c>
      <c r="F11" s="3" t="s">
        <v>251</v>
      </c>
      <c r="G11" s="3" t="s">
        <v>252</v>
      </c>
      <c r="H11" s="3" t="s">
        <v>253</v>
      </c>
      <c r="I11" s="3" t="s">
        <v>254</v>
      </c>
      <c r="J11" s="3" t="s">
        <v>255</v>
      </c>
      <c r="K11" s="3" t="s">
        <v>256</v>
      </c>
      <c r="L11" s="3" t="s">
        <v>257</v>
      </c>
      <c r="M11" s="3" t="s">
        <v>258</v>
      </c>
      <c r="N11" s="3" t="s">
        <v>259</v>
      </c>
      <c r="O11" s="3" t="s">
        <v>260</v>
      </c>
      <c r="P11" s="3" t="s">
        <v>261</v>
      </c>
      <c r="Q11" s="3" t="s">
        <v>262</v>
      </c>
    </row>
    <row r="12" customFormat="false" ht="15" hidden="false" customHeight="false" outlineLevel="0" collapsed="false">
      <c r="A12" s="5" t="s">
        <v>263</v>
      </c>
      <c r="B12" s="4" t="s">
        <v>264</v>
      </c>
      <c r="C12" s="25" t="n">
        <v>26</v>
      </c>
      <c r="D12" s="25" t="n">
        <v>4</v>
      </c>
      <c r="E12" s="25" t="n">
        <v>2</v>
      </c>
      <c r="F12" s="10" t="n">
        <f aca="false">IF(D12=0,"",E12/D12)</f>
        <v>0.5</v>
      </c>
      <c r="G12" s="25" t="n">
        <v>0</v>
      </c>
      <c r="H12" s="25" t="n">
        <v>0</v>
      </c>
      <c r="I12" s="25" t="n">
        <v>0</v>
      </c>
      <c r="J12" s="26" t="n">
        <v>0.81</v>
      </c>
      <c r="K12" s="26" t="n">
        <v>0.15</v>
      </c>
      <c r="L12" s="26" t="n">
        <v>0.04</v>
      </c>
      <c r="M12" s="26" t="n">
        <v>0.62</v>
      </c>
      <c r="N12" s="26" t="n">
        <v>0.23</v>
      </c>
      <c r="O12" s="26" t="n">
        <v>0.15</v>
      </c>
      <c r="P12" s="10" t="n">
        <f aca="false">N12+O12</f>
        <v>0.38</v>
      </c>
      <c r="Q12" s="27" t="n">
        <f aca="false">IF(D12=0,"",C12/D12)</f>
        <v>6.5</v>
      </c>
    </row>
    <row r="13" customFormat="false" ht="15" hidden="false" customHeight="false" outlineLevel="0" collapsed="false">
      <c r="A13" s="5" t="s">
        <v>265</v>
      </c>
      <c r="B13" s="4" t="s">
        <v>266</v>
      </c>
      <c r="C13" s="25" t="n">
        <v>23</v>
      </c>
      <c r="D13" s="25" t="n">
        <v>2</v>
      </c>
      <c r="E13" s="25" t="n">
        <v>1</v>
      </c>
      <c r="F13" s="10" t="n">
        <f aca="false">IF(D13=0,"",E13/D13)</f>
        <v>0.5</v>
      </c>
      <c r="G13" s="25" t="n">
        <v>0</v>
      </c>
      <c r="H13" s="25" t="n">
        <v>1</v>
      </c>
      <c r="I13" s="25" t="n">
        <v>0</v>
      </c>
      <c r="J13" s="26" t="n">
        <v>0.74</v>
      </c>
      <c r="K13" s="26" t="n">
        <v>0.13</v>
      </c>
      <c r="L13" s="26" t="n">
        <v>0.13</v>
      </c>
      <c r="M13" s="26" t="n">
        <v>0.43</v>
      </c>
      <c r="N13" s="26" t="n">
        <v>0.04</v>
      </c>
      <c r="O13" s="26" t="n">
        <v>0.52</v>
      </c>
      <c r="P13" s="10" t="n">
        <f aca="false">N13+O13</f>
        <v>0.56</v>
      </c>
      <c r="Q13" s="27" t="n">
        <f aca="false">IF(D13=0,"",C13/D13)</f>
        <v>11.5</v>
      </c>
    </row>
    <row r="15" customFormat="false" ht="15" hidden="false" customHeight="false" outlineLevel="0" collapsed="false">
      <c r="A15" s="11" t="s">
        <v>267</v>
      </c>
    </row>
    <row r="16" customFormat="false" ht="33.75" hidden="false" customHeight="true" outlineLevel="0" collapsed="false">
      <c r="A16" s="28" t="s">
        <v>268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customFormat="false" ht="33.75" hidden="false" customHeight="true" outlineLevel="0" collapsed="false">
      <c r="A17" s="28" t="s">
        <v>269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customFormat="false" ht="33.75" hidden="false" customHeight="true" outlineLevel="0" collapsed="false">
      <c r="A18" s="28" t="s">
        <v>270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customFormat="false" ht="33.75" hidden="false" customHeight="true" outlineLevel="0" collapsed="false">
      <c r="A19" s="28" t="s">
        <v>271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</sheetData>
  <mergeCells count="5">
    <mergeCell ref="A2:Q2"/>
    <mergeCell ref="A16:N16"/>
    <mergeCell ref="A17:N17"/>
    <mergeCell ref="A18:N18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272</v>
      </c>
    </row>
    <row r="2" customFormat="false" ht="31.5" hidden="false" customHeight="true" outlineLevel="0" collapsed="false">
      <c r="A2" s="2" t="s">
        <v>273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29" t="s">
        <v>274</v>
      </c>
      <c r="B4" s="29"/>
      <c r="C4" s="30" t="n">
        <f aca="false">COUNTIF(KPIs!I5:I13,"Cumple")</f>
        <v>0</v>
      </c>
    </row>
    <row r="5" customFormat="false" ht="15" hidden="false" customHeight="false" outlineLevel="0" collapsed="false">
      <c r="A5" s="29" t="s">
        <v>275</v>
      </c>
      <c r="B5" s="29"/>
      <c r="C5" s="30" t="n">
        <f aca="false">SUMPRODUCT(--(KPIs!H5:H13&lt;&gt;""))</f>
        <v>0</v>
      </c>
    </row>
    <row r="6" customFormat="false" ht="15" hidden="false" customHeight="true" outlineLevel="0" collapsed="false">
      <c r="A6" s="29" t="s">
        <v>276</v>
      </c>
      <c r="B6" s="29"/>
      <c r="C6" s="31" t="n">
        <v>6</v>
      </c>
      <c r="E6" s="2" t="s">
        <v>277</v>
      </c>
      <c r="F6" s="2"/>
      <c r="G6" s="2"/>
    </row>
    <row r="7" customFormat="false" ht="15" hidden="false" customHeight="false" outlineLevel="0" collapsed="false">
      <c r="A7" s="29" t="s">
        <v>278</v>
      </c>
      <c r="B7" s="29"/>
      <c r="C7" s="31" t="n">
        <v>3</v>
      </c>
      <c r="E7" s="2"/>
      <c r="F7" s="2"/>
      <c r="G7" s="2"/>
    </row>
    <row r="8" customFormat="false" ht="15" hidden="false" customHeight="false" outlineLevel="0" collapsed="false">
      <c r="A8" s="29" t="s">
        <v>279</v>
      </c>
      <c r="B8" s="29"/>
      <c r="C8" s="32" t="str">
        <f aca="false">IF(C5=0,"Sin datos del retesteo",IF(C4&gt;=C6,"CONTINUAR",IF(C4&gt;=C7,"AJUSTAR","REVISAR PIVOTE")))</f>
        <v>Sin datos del retesteo</v>
      </c>
      <c r="E8" s="2"/>
      <c r="F8" s="2"/>
      <c r="G8" s="2"/>
    </row>
    <row r="10" customFormat="false" ht="15" hidden="false" customHeight="false" outlineLevel="0" collapsed="false">
      <c r="A10" s="30" t="s">
        <v>280</v>
      </c>
    </row>
    <row r="11" customFormat="false" ht="23.85" hidden="false" customHeight="false" outlineLevel="0" collapsed="false">
      <c r="A11" s="3" t="s">
        <v>203</v>
      </c>
      <c r="B11" s="3" t="s">
        <v>281</v>
      </c>
      <c r="C11" s="3" t="s">
        <v>282</v>
      </c>
      <c r="D11" s="3" t="s">
        <v>283</v>
      </c>
      <c r="E11" s="3" t="s">
        <v>284</v>
      </c>
      <c r="F11" s="3" t="s">
        <v>285</v>
      </c>
      <c r="G11" s="3" t="s">
        <v>286</v>
      </c>
    </row>
    <row r="12" customFormat="false" ht="23.85" hidden="false" customHeight="false" outlineLevel="0" collapsed="false">
      <c r="A12" s="33" t="s">
        <v>210</v>
      </c>
      <c r="B12" s="33" t="s">
        <v>287</v>
      </c>
      <c r="C12" s="33" t="s">
        <v>288</v>
      </c>
      <c r="D12" s="33" t="s">
        <v>289</v>
      </c>
      <c r="E12" s="33" t="s">
        <v>290</v>
      </c>
      <c r="F12" s="33" t="s">
        <v>8</v>
      </c>
      <c r="G12" s="33" t="s">
        <v>291</v>
      </c>
    </row>
    <row r="13" customFormat="false" ht="15" hidden="false" customHeight="false" outlineLevel="0" collapsed="false">
      <c r="A13" s="34"/>
      <c r="B13" s="34"/>
      <c r="C13" s="34"/>
      <c r="D13" s="34"/>
      <c r="E13" s="34"/>
      <c r="F13" s="34"/>
      <c r="G13" s="34"/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A16" s="34"/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4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4"/>
    </row>
  </sheetData>
  <mergeCells count="7">
    <mergeCell ref="A2:G2"/>
    <mergeCell ref="A4:B4"/>
    <mergeCell ref="A5:B5"/>
    <mergeCell ref="A6:B6"/>
    <mergeCell ref="E6:G8"/>
    <mergeCell ref="A7:B7"/>
    <mergeCell ref="A8:B8"/>
  </mergeCells>
  <dataValidations count="1">
    <dataValidation allowBlank="true" errorStyle="stop" operator="between" showDropDown="false" showErrorMessage="false" showInputMessage="false" sqref="D13:D18" type="list">
      <formula1>"Continuar,Ajustar,Pivotar"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292</v>
      </c>
    </row>
    <row r="2" customFormat="false" ht="39.75" hidden="false" customHeight="true" outlineLevel="0" collapsed="false">
      <c r="A2" s="2" t="s">
        <v>293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294</v>
      </c>
      <c r="B4" s="3" t="s">
        <v>295</v>
      </c>
      <c r="C4" s="3" t="s">
        <v>296</v>
      </c>
      <c r="D4" s="3" t="s">
        <v>297</v>
      </c>
      <c r="E4" s="3" t="s">
        <v>6</v>
      </c>
      <c r="F4" s="3" t="s">
        <v>298</v>
      </c>
    </row>
    <row r="5" customFormat="false" ht="23.85" hidden="false" customHeight="false" outlineLevel="0" collapsed="false">
      <c r="A5" s="8" t="s">
        <v>299</v>
      </c>
      <c r="B5" s="5" t="s">
        <v>300</v>
      </c>
      <c r="C5" s="5" t="s">
        <v>301</v>
      </c>
      <c r="D5" s="5" t="s">
        <v>302</v>
      </c>
      <c r="E5" s="6" t="s">
        <v>303</v>
      </c>
      <c r="F5" s="5" t="s">
        <v>304</v>
      </c>
    </row>
    <row r="6" customFormat="false" ht="23.85" hidden="false" customHeight="false" outlineLevel="0" collapsed="false">
      <c r="A6" s="8" t="s">
        <v>305</v>
      </c>
      <c r="B6" s="5" t="s">
        <v>306</v>
      </c>
      <c r="C6" s="5" t="s">
        <v>307</v>
      </c>
      <c r="D6" s="5" t="s">
        <v>308</v>
      </c>
      <c r="E6" s="6" t="s">
        <v>309</v>
      </c>
      <c r="F6" s="5" t="s">
        <v>310</v>
      </c>
    </row>
    <row r="7" customFormat="false" ht="23.85" hidden="false" customHeight="false" outlineLevel="0" collapsed="false">
      <c r="A7" s="8" t="s">
        <v>311</v>
      </c>
      <c r="B7" s="5" t="s">
        <v>312</v>
      </c>
      <c r="C7" s="5" t="s">
        <v>313</v>
      </c>
      <c r="D7" s="5" t="s">
        <v>314</v>
      </c>
      <c r="E7" s="6" t="s">
        <v>303</v>
      </c>
      <c r="F7" s="5" t="s">
        <v>315</v>
      </c>
    </row>
    <row r="8" customFormat="false" ht="23.85" hidden="false" customHeight="false" outlineLevel="0" collapsed="false">
      <c r="A8" s="8" t="s">
        <v>316</v>
      </c>
      <c r="B8" s="5" t="s">
        <v>317</v>
      </c>
      <c r="C8" s="5" t="s">
        <v>318</v>
      </c>
      <c r="D8" s="5" t="s">
        <v>319</v>
      </c>
      <c r="E8" s="6" t="s">
        <v>309</v>
      </c>
      <c r="F8" s="5" t="s">
        <v>320</v>
      </c>
    </row>
    <row r="9" customFormat="false" ht="23.85" hidden="false" customHeight="false" outlineLevel="0" collapsed="false">
      <c r="A9" s="8" t="s">
        <v>321</v>
      </c>
      <c r="B9" s="5" t="s">
        <v>322</v>
      </c>
      <c r="C9" s="5" t="s">
        <v>323</v>
      </c>
      <c r="D9" s="5" t="s">
        <v>324</v>
      </c>
      <c r="E9" s="6" t="s">
        <v>303</v>
      </c>
      <c r="F9" s="5" t="s">
        <v>325</v>
      </c>
    </row>
    <row r="10" customFormat="false" ht="35.05" hidden="false" customHeight="false" outlineLevel="0" collapsed="false">
      <c r="A10" s="8" t="s">
        <v>326</v>
      </c>
      <c r="B10" s="5" t="s">
        <v>327</v>
      </c>
      <c r="C10" s="5" t="s">
        <v>328</v>
      </c>
      <c r="D10" s="5" t="s">
        <v>329</v>
      </c>
      <c r="E10" s="6" t="s">
        <v>309</v>
      </c>
      <c r="F10" s="5" t="s">
        <v>330</v>
      </c>
    </row>
    <row r="11" customFormat="false" ht="35.05" hidden="false" customHeight="false" outlineLevel="0" collapsed="false">
      <c r="A11" s="8" t="s">
        <v>331</v>
      </c>
      <c r="B11" s="5" t="s">
        <v>332</v>
      </c>
      <c r="C11" s="5" t="s">
        <v>333</v>
      </c>
      <c r="D11" s="5" t="s">
        <v>334</v>
      </c>
      <c r="E11" s="6" t="s">
        <v>309</v>
      </c>
      <c r="F11" s="5" t="s">
        <v>335</v>
      </c>
    </row>
    <row r="12" customFormat="false" ht="23.85" hidden="false" customHeight="false" outlineLevel="0" collapsed="false">
      <c r="A12" s="8" t="s">
        <v>336</v>
      </c>
      <c r="B12" s="5" t="s">
        <v>337</v>
      </c>
      <c r="C12" s="5" t="s">
        <v>338</v>
      </c>
      <c r="D12" s="5" t="s">
        <v>339</v>
      </c>
      <c r="E12" s="6" t="s">
        <v>303</v>
      </c>
      <c r="F12" s="5" t="s">
        <v>81</v>
      </c>
    </row>
    <row r="13" customFormat="false" ht="23.85" hidden="false" customHeight="false" outlineLevel="0" collapsed="false">
      <c r="A13" s="8" t="s">
        <v>340</v>
      </c>
      <c r="B13" s="5" t="s">
        <v>341</v>
      </c>
      <c r="C13" s="5" t="s">
        <v>338</v>
      </c>
      <c r="D13" s="5" t="s">
        <v>342</v>
      </c>
      <c r="E13" s="6" t="s">
        <v>303</v>
      </c>
      <c r="F13" s="5" t="s">
        <v>81</v>
      </c>
    </row>
    <row r="14" customFormat="false" ht="23.85" hidden="false" customHeight="false" outlineLevel="0" collapsed="false">
      <c r="A14" s="8" t="s">
        <v>343</v>
      </c>
      <c r="B14" s="5" t="s">
        <v>344</v>
      </c>
      <c r="C14" s="5" t="s">
        <v>345</v>
      </c>
      <c r="D14" s="5" t="s">
        <v>346</v>
      </c>
      <c r="E14" s="6" t="s">
        <v>347</v>
      </c>
      <c r="F14" s="5" t="s">
        <v>348</v>
      </c>
    </row>
    <row r="15" customFormat="false" ht="23.85" hidden="false" customHeight="false" outlineLevel="0" collapsed="false">
      <c r="A15" s="8" t="s">
        <v>349</v>
      </c>
      <c r="B15" s="5" t="s">
        <v>350</v>
      </c>
      <c r="C15" s="5" t="s">
        <v>351</v>
      </c>
      <c r="D15" s="5" t="s">
        <v>352</v>
      </c>
      <c r="E15" s="6" t="s">
        <v>353</v>
      </c>
      <c r="F15" s="5" t="s">
        <v>354</v>
      </c>
    </row>
    <row r="16" customFormat="false" ht="23.85" hidden="false" customHeight="false" outlineLevel="0" collapsed="false">
      <c r="A16" s="8" t="s">
        <v>355</v>
      </c>
      <c r="B16" s="5" t="s">
        <v>356</v>
      </c>
      <c r="C16" s="5" t="s">
        <v>357</v>
      </c>
      <c r="D16" s="5" t="s">
        <v>358</v>
      </c>
      <c r="E16" s="6" t="s">
        <v>359</v>
      </c>
      <c r="F16" s="5" t="s">
        <v>360</v>
      </c>
    </row>
    <row r="17" customFormat="false" ht="23.85" hidden="false" customHeight="false" outlineLevel="0" collapsed="false">
      <c r="A17" s="8" t="s">
        <v>361</v>
      </c>
      <c r="B17" s="5" t="s">
        <v>362</v>
      </c>
      <c r="C17" s="5" t="s">
        <v>363</v>
      </c>
      <c r="D17" s="5" t="s">
        <v>364</v>
      </c>
      <c r="E17" s="6" t="s">
        <v>359</v>
      </c>
      <c r="F17" s="5" t="s">
        <v>365</v>
      </c>
    </row>
    <row r="18" customFormat="false" ht="23.85" hidden="false" customHeight="false" outlineLevel="0" collapsed="false">
      <c r="A18" s="8" t="s">
        <v>366</v>
      </c>
      <c r="B18" s="5" t="s">
        <v>367</v>
      </c>
      <c r="C18" s="5" t="s">
        <v>368</v>
      </c>
      <c r="D18" s="5" t="s">
        <v>369</v>
      </c>
      <c r="E18" s="6" t="s">
        <v>309</v>
      </c>
      <c r="F18" s="5" t="s">
        <v>370</v>
      </c>
    </row>
    <row r="19" customFormat="false" ht="23.85" hidden="false" customHeight="false" outlineLevel="0" collapsed="false">
      <c r="A19" s="8" t="s">
        <v>371</v>
      </c>
      <c r="B19" s="5" t="s">
        <v>372</v>
      </c>
      <c r="C19" s="5" t="s">
        <v>373</v>
      </c>
      <c r="D19" s="5" t="s">
        <v>374</v>
      </c>
      <c r="E19" s="6" t="s">
        <v>303</v>
      </c>
      <c r="F19" s="5" t="s">
        <v>375</v>
      </c>
    </row>
    <row r="20" customFormat="false" ht="15" hidden="false" customHeight="false" outlineLevel="0" collapsed="false">
      <c r="A20" s="8" t="s">
        <v>376</v>
      </c>
      <c r="B20" s="5" t="s">
        <v>377</v>
      </c>
      <c r="C20" s="5" t="s">
        <v>378</v>
      </c>
      <c r="D20" s="5" t="s">
        <v>379</v>
      </c>
      <c r="E20" s="6" t="s">
        <v>359</v>
      </c>
      <c r="F20" s="5" t="s">
        <v>4</v>
      </c>
    </row>
    <row r="21" customFormat="false" ht="23.85" hidden="false" customHeight="false" outlineLevel="0" collapsed="false">
      <c r="A21" s="8" t="s">
        <v>380</v>
      </c>
      <c r="B21" s="5" t="s">
        <v>381</v>
      </c>
      <c r="C21" s="5" t="s">
        <v>382</v>
      </c>
      <c r="D21" s="5" t="s">
        <v>383</v>
      </c>
      <c r="E21" s="6" t="s">
        <v>303</v>
      </c>
      <c r="F21" s="5" t="s">
        <v>384</v>
      </c>
    </row>
    <row r="22" customFormat="false" ht="23.85" hidden="false" customHeight="false" outlineLevel="0" collapsed="false">
      <c r="A22" s="8" t="s">
        <v>385</v>
      </c>
      <c r="B22" s="5" t="s">
        <v>386</v>
      </c>
      <c r="C22" s="5" t="s">
        <v>387</v>
      </c>
      <c r="D22" s="5" t="s">
        <v>388</v>
      </c>
      <c r="E22" s="6" t="s">
        <v>353</v>
      </c>
      <c r="F22" s="5" t="s">
        <v>354</v>
      </c>
    </row>
    <row r="23" customFormat="false" ht="23.85" hidden="false" customHeight="false" outlineLevel="0" collapsed="false">
      <c r="A23" s="8" t="s">
        <v>389</v>
      </c>
      <c r="B23" s="5" t="s">
        <v>390</v>
      </c>
      <c r="C23" s="5" t="s">
        <v>391</v>
      </c>
      <c r="D23" s="5" t="s">
        <v>392</v>
      </c>
      <c r="E23" s="6" t="s">
        <v>359</v>
      </c>
      <c r="F23" s="5" t="s">
        <v>393</v>
      </c>
    </row>
    <row r="24" customFormat="false" ht="35.05" hidden="false" customHeight="false" outlineLevel="0" collapsed="false">
      <c r="A24" s="8" t="s">
        <v>394</v>
      </c>
      <c r="B24" s="5" t="s">
        <v>395</v>
      </c>
      <c r="C24" s="5" t="s">
        <v>396</v>
      </c>
      <c r="D24" s="5" t="s">
        <v>397</v>
      </c>
      <c r="E24" s="6" t="s">
        <v>309</v>
      </c>
      <c r="F24" s="5" t="s">
        <v>370</v>
      </c>
    </row>
  </sheetData>
  <mergeCells count="1">
    <mergeCell ref="A2:F2"/>
  </mergeCells>
  <dataValidations count="1">
    <dataValidation allowBlank="true" errorStyle="stop" operator="between" showDropDown="false" showErrorMessage="false" showInputMessage="false" sqref="E5:E24" type="list">
      <formula1>"Aplicado,Aplicado en parte,En preparación,Propuesto,Por evaluar,Descartado"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64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398</v>
      </c>
    </row>
    <row r="2" customFormat="false" ht="43.5" hidden="false" customHeight="true" outlineLevel="0" collapsed="false">
      <c r="A2" s="2" t="s">
        <v>399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203</v>
      </c>
      <c r="B4" s="3" t="s">
        <v>400</v>
      </c>
      <c r="C4" s="3" t="s">
        <v>401</v>
      </c>
      <c r="D4" s="3" t="s">
        <v>402</v>
      </c>
      <c r="E4" s="3" t="s">
        <v>403</v>
      </c>
      <c r="F4" s="3" t="s">
        <v>404</v>
      </c>
      <c r="G4" s="3" t="s">
        <v>6</v>
      </c>
    </row>
    <row r="5" customFormat="false" ht="57.45" hidden="false" customHeight="false" outlineLevel="0" collapsed="false">
      <c r="A5" s="4" t="s">
        <v>405</v>
      </c>
      <c r="B5" s="4" t="s">
        <v>406</v>
      </c>
      <c r="C5" s="8" t="s">
        <v>407</v>
      </c>
      <c r="D5" s="5" t="s">
        <v>408</v>
      </c>
      <c r="E5" s="5" t="s">
        <v>409</v>
      </c>
      <c r="F5" s="4" t="s">
        <v>410</v>
      </c>
      <c r="G5" s="6" t="s">
        <v>3</v>
      </c>
    </row>
    <row r="6" customFormat="false" ht="35.05" hidden="false" customHeight="false" outlineLevel="0" collapsed="false">
      <c r="A6" s="4" t="s">
        <v>211</v>
      </c>
      <c r="B6" s="4" t="s">
        <v>411</v>
      </c>
      <c r="C6" s="8" t="s">
        <v>412</v>
      </c>
      <c r="D6" s="5" t="s">
        <v>413</v>
      </c>
      <c r="E6" s="5" t="s">
        <v>414</v>
      </c>
      <c r="F6" s="4" t="s">
        <v>415</v>
      </c>
      <c r="G6" s="6" t="s">
        <v>3</v>
      </c>
    </row>
    <row r="7" customFormat="false" ht="23.85" hidden="false" customHeight="false" outlineLevel="0" collapsed="false">
      <c r="A7" s="4" t="s">
        <v>416</v>
      </c>
      <c r="B7" s="4" t="s">
        <v>417</v>
      </c>
      <c r="C7" s="8" t="s">
        <v>412</v>
      </c>
      <c r="D7" s="5" t="s">
        <v>418</v>
      </c>
      <c r="E7" s="5" t="s">
        <v>419</v>
      </c>
      <c r="F7" s="4" t="s">
        <v>415</v>
      </c>
      <c r="G7" s="6" t="s">
        <v>3</v>
      </c>
    </row>
    <row r="8" customFormat="false" ht="23.85" hidden="false" customHeight="false" outlineLevel="0" collapsed="false">
      <c r="A8" s="4" t="s">
        <v>420</v>
      </c>
      <c r="B8" s="4" t="s">
        <v>421</v>
      </c>
      <c r="C8" s="8" t="s">
        <v>422</v>
      </c>
      <c r="D8" s="5" t="s">
        <v>423</v>
      </c>
      <c r="E8" s="5" t="s">
        <v>424</v>
      </c>
      <c r="F8" s="4" t="s">
        <v>415</v>
      </c>
      <c r="G8" s="6" t="s">
        <v>3</v>
      </c>
    </row>
    <row r="9" customFormat="false" ht="23.85" hidden="false" customHeight="false" outlineLevel="0" collapsed="false">
      <c r="A9" s="4" t="s">
        <v>425</v>
      </c>
      <c r="B9" s="4" t="s">
        <v>426</v>
      </c>
      <c r="C9" s="8" t="s">
        <v>427</v>
      </c>
      <c r="D9" s="5" t="s">
        <v>428</v>
      </c>
      <c r="E9" s="5" t="s">
        <v>429</v>
      </c>
      <c r="F9" s="4" t="s">
        <v>430</v>
      </c>
      <c r="G9" s="6" t="s">
        <v>3</v>
      </c>
    </row>
    <row r="10" customFormat="false" ht="35.05" hidden="false" customHeight="false" outlineLevel="0" collapsed="false">
      <c r="A10" s="4" t="s">
        <v>431</v>
      </c>
      <c r="B10" s="4" t="s">
        <v>432</v>
      </c>
      <c r="C10" s="8" t="s">
        <v>433</v>
      </c>
      <c r="D10" s="5" t="s">
        <v>434</v>
      </c>
      <c r="E10" s="5" t="s">
        <v>435</v>
      </c>
      <c r="F10" s="4" t="s">
        <v>436</v>
      </c>
      <c r="G10" s="6" t="s">
        <v>3</v>
      </c>
    </row>
    <row r="11" customFormat="false" ht="15" hidden="false" customHeight="false" outlineLevel="0" collapsed="false">
      <c r="A11" s="4" t="s">
        <v>437</v>
      </c>
      <c r="B11" s="4" t="s">
        <v>438</v>
      </c>
      <c r="C11" s="8" t="s">
        <v>439</v>
      </c>
      <c r="D11" s="5" t="s">
        <v>440</v>
      </c>
      <c r="E11" s="5" t="s">
        <v>82</v>
      </c>
      <c r="F11" s="4" t="s">
        <v>82</v>
      </c>
      <c r="G11" s="6" t="s">
        <v>3</v>
      </c>
    </row>
    <row r="12" customFormat="false" ht="35.05" hidden="false" customHeight="false" outlineLevel="0" collapsed="false">
      <c r="A12" s="4" t="s">
        <v>441</v>
      </c>
      <c r="B12" s="4" t="s">
        <v>442</v>
      </c>
      <c r="C12" s="8" t="s">
        <v>443</v>
      </c>
      <c r="D12" s="5" t="s">
        <v>444</v>
      </c>
      <c r="E12" s="5" t="s">
        <v>445</v>
      </c>
      <c r="F12" s="4" t="s">
        <v>446</v>
      </c>
      <c r="G12" s="6" t="s">
        <v>3</v>
      </c>
    </row>
    <row r="13" customFormat="false" ht="35.05" hidden="false" customHeight="false" outlineLevel="0" collapsed="false">
      <c r="A13" s="4" t="s">
        <v>447</v>
      </c>
      <c r="B13" s="4" t="s">
        <v>448</v>
      </c>
      <c r="C13" s="8" t="s">
        <v>449</v>
      </c>
      <c r="D13" s="5" t="s">
        <v>450</v>
      </c>
      <c r="E13" s="5" t="s">
        <v>451</v>
      </c>
      <c r="F13" s="4" t="s">
        <v>452</v>
      </c>
      <c r="G13" s="6" t="s">
        <v>3</v>
      </c>
    </row>
    <row r="14" customFormat="false" ht="23.85" hidden="false" customHeight="false" outlineLevel="0" collapsed="false">
      <c r="A14" s="4" t="s">
        <v>453</v>
      </c>
      <c r="B14" s="4" t="s">
        <v>454</v>
      </c>
      <c r="C14" s="8" t="s">
        <v>455</v>
      </c>
      <c r="D14" s="5" t="s">
        <v>456</v>
      </c>
      <c r="E14" s="5" t="s">
        <v>457</v>
      </c>
      <c r="F14" s="4" t="s">
        <v>458</v>
      </c>
      <c r="G14" s="6" t="s">
        <v>3</v>
      </c>
    </row>
    <row r="15" customFormat="false" ht="35.05" hidden="false" customHeight="false" outlineLevel="0" collapsed="false">
      <c r="A15" s="4" t="s">
        <v>459</v>
      </c>
      <c r="B15" s="4" t="s">
        <v>460</v>
      </c>
      <c r="C15" s="8" t="s">
        <v>430</v>
      </c>
      <c r="D15" s="5" t="s">
        <v>461</v>
      </c>
      <c r="E15" s="5" t="s">
        <v>462</v>
      </c>
      <c r="F15" s="4" t="s">
        <v>463</v>
      </c>
      <c r="G15" s="6" t="s">
        <v>3</v>
      </c>
    </row>
    <row r="16" customFormat="false" ht="23.85" hidden="false" customHeight="false" outlineLevel="0" collapsed="false">
      <c r="A16" s="4" t="s">
        <v>464</v>
      </c>
      <c r="B16" s="4" t="s">
        <v>465</v>
      </c>
      <c r="C16" s="8" t="s">
        <v>466</v>
      </c>
      <c r="D16" s="5" t="s">
        <v>467</v>
      </c>
      <c r="E16" s="5" t="s">
        <v>468</v>
      </c>
      <c r="F16" s="4" t="s">
        <v>82</v>
      </c>
      <c r="G16" s="6" t="s">
        <v>3</v>
      </c>
    </row>
    <row r="17" customFormat="false" ht="23.85" hidden="false" customHeight="false" outlineLevel="0" collapsed="false">
      <c r="A17" s="4" t="s">
        <v>469</v>
      </c>
      <c r="B17" s="4" t="s">
        <v>470</v>
      </c>
      <c r="C17" s="8" t="s">
        <v>471</v>
      </c>
      <c r="D17" s="5" t="s">
        <v>472</v>
      </c>
      <c r="E17" s="5" t="s">
        <v>473</v>
      </c>
      <c r="F17" s="4" t="s">
        <v>82</v>
      </c>
      <c r="G17" s="6" t="s">
        <v>3</v>
      </c>
    </row>
    <row r="18" customFormat="false" ht="23.85" hidden="false" customHeight="false" outlineLevel="0" collapsed="false">
      <c r="A18" s="4" t="s">
        <v>474</v>
      </c>
      <c r="B18" s="4" t="s">
        <v>475</v>
      </c>
      <c r="C18" s="8" t="s">
        <v>81</v>
      </c>
      <c r="D18" s="5" t="s">
        <v>476</v>
      </c>
      <c r="E18" s="5" t="s">
        <v>477</v>
      </c>
      <c r="F18" s="4" t="s">
        <v>82</v>
      </c>
      <c r="G18" s="6" t="s">
        <v>3</v>
      </c>
    </row>
    <row r="19" customFormat="false" ht="15" hidden="false" customHeight="false" outlineLevel="0" collapsed="false">
      <c r="A19" s="4" t="s">
        <v>478</v>
      </c>
      <c r="B19" s="4" t="s">
        <v>432</v>
      </c>
      <c r="C19" s="8" t="s">
        <v>81</v>
      </c>
      <c r="D19" s="5" t="s">
        <v>479</v>
      </c>
      <c r="E19" s="5" t="s">
        <v>82</v>
      </c>
      <c r="F19" s="4" t="s">
        <v>82</v>
      </c>
      <c r="G19" s="6" t="s">
        <v>3</v>
      </c>
    </row>
    <row r="22" customFormat="false" ht="30" hidden="false" customHeight="true" outlineLevel="0" collapsed="false">
      <c r="A22" s="2" t="s">
        <v>480</v>
      </c>
      <c r="B22" s="2"/>
      <c r="C22" s="2"/>
      <c r="D22" s="2"/>
      <c r="E22" s="2"/>
      <c r="F22" s="2"/>
      <c r="G22" s="2"/>
    </row>
  </sheetData>
  <mergeCells count="2">
    <mergeCell ref="A2:G2"/>
    <mergeCell ref="A22:G22"/>
  </mergeCells>
  <dataValidations count="1">
    <dataValidation allowBlank="true" errorStyle="stop" operator="between" showDropDown="false" showErrorMessage="false" showInputMessage="false" sqref="G5:G19" type="list">
      <formula1>"Pendiente,En curso,Hecho,Pospuesto"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5" min="4" style="0" width="34"/>
  </cols>
  <sheetData>
    <row r="1" customFormat="false" ht="17.35" hidden="false" customHeight="false" outlineLevel="0" collapsed="false">
      <c r="A1" s="1" t="s">
        <v>481</v>
      </c>
    </row>
    <row r="2" customFormat="false" ht="39.75" hidden="false" customHeight="true" outlineLevel="0" collapsed="false">
      <c r="A2" s="2" t="s">
        <v>482</v>
      </c>
      <c r="B2" s="2"/>
      <c r="C2" s="2"/>
      <c r="D2" s="2"/>
      <c r="E2" s="2"/>
    </row>
    <row r="4" customFormat="false" ht="15" hidden="false" customHeight="false" outlineLevel="0" collapsed="false">
      <c r="A4" s="3" t="s">
        <v>483</v>
      </c>
      <c r="B4" s="3" t="s">
        <v>484</v>
      </c>
      <c r="C4" s="3" t="s">
        <v>6</v>
      </c>
      <c r="D4" s="3" t="s">
        <v>485</v>
      </c>
      <c r="E4" s="3" t="s">
        <v>486</v>
      </c>
    </row>
    <row r="5" customFormat="false" ht="23.85" hidden="false" customHeight="false" outlineLevel="0" collapsed="false">
      <c r="A5" s="8" t="s">
        <v>487</v>
      </c>
      <c r="B5" s="5" t="s">
        <v>488</v>
      </c>
      <c r="C5" s="6" t="s">
        <v>489</v>
      </c>
      <c r="D5" s="5" t="s">
        <v>82</v>
      </c>
      <c r="E5" s="5" t="s">
        <v>490</v>
      </c>
    </row>
    <row r="6" customFormat="false" ht="15" hidden="false" customHeight="false" outlineLevel="0" collapsed="false">
      <c r="A6" s="8" t="s">
        <v>491</v>
      </c>
      <c r="B6" s="5" t="s">
        <v>492</v>
      </c>
      <c r="C6" s="6" t="s">
        <v>493</v>
      </c>
      <c r="D6" s="5" t="s">
        <v>494</v>
      </c>
      <c r="E6" s="5" t="s">
        <v>495</v>
      </c>
    </row>
    <row r="7" customFormat="false" ht="15" hidden="false" customHeight="false" outlineLevel="0" collapsed="false">
      <c r="A7" s="8" t="s">
        <v>496</v>
      </c>
      <c r="B7" s="5" t="s">
        <v>497</v>
      </c>
      <c r="C7" s="6" t="s">
        <v>493</v>
      </c>
      <c r="D7" s="5" t="s">
        <v>498</v>
      </c>
      <c r="E7" s="5" t="s">
        <v>499</v>
      </c>
    </row>
    <row r="8" customFormat="false" ht="15" hidden="false" customHeight="false" outlineLevel="0" collapsed="false">
      <c r="A8" s="8" t="s">
        <v>500</v>
      </c>
      <c r="B8" s="5" t="s">
        <v>501</v>
      </c>
      <c r="C8" s="6" t="s">
        <v>493</v>
      </c>
      <c r="D8" s="5" t="s">
        <v>82</v>
      </c>
      <c r="E8" s="5" t="s">
        <v>502</v>
      </c>
    </row>
    <row r="9" customFormat="false" ht="15" hidden="false" customHeight="false" outlineLevel="0" collapsed="false">
      <c r="A9" s="8" t="s">
        <v>503</v>
      </c>
      <c r="B9" s="5" t="s">
        <v>504</v>
      </c>
      <c r="C9" s="6" t="s">
        <v>505</v>
      </c>
      <c r="D9" s="5" t="s">
        <v>82</v>
      </c>
      <c r="E9" s="5" t="s">
        <v>82</v>
      </c>
    </row>
    <row r="10" customFormat="false" ht="23.85" hidden="false" customHeight="false" outlineLevel="0" collapsed="false">
      <c r="A10" s="8" t="s">
        <v>506</v>
      </c>
      <c r="B10" s="5" t="s">
        <v>507</v>
      </c>
      <c r="C10" s="6" t="s">
        <v>508</v>
      </c>
      <c r="D10" s="5" t="s">
        <v>509</v>
      </c>
      <c r="E10" s="5" t="s">
        <v>510</v>
      </c>
    </row>
    <row r="11" customFormat="false" ht="23.85" hidden="false" customHeight="false" outlineLevel="0" collapsed="false">
      <c r="A11" s="8" t="s">
        <v>511</v>
      </c>
      <c r="B11" s="5" t="s">
        <v>512</v>
      </c>
      <c r="C11" s="6" t="s">
        <v>508</v>
      </c>
      <c r="D11" s="5" t="s">
        <v>513</v>
      </c>
      <c r="E11" s="5" t="s">
        <v>514</v>
      </c>
    </row>
    <row r="12" customFormat="false" ht="23.85" hidden="false" customHeight="false" outlineLevel="0" collapsed="false">
      <c r="A12" s="8" t="s">
        <v>515</v>
      </c>
      <c r="B12" s="5" t="s">
        <v>516</v>
      </c>
      <c r="C12" s="6" t="s">
        <v>508</v>
      </c>
      <c r="D12" s="5" t="s">
        <v>517</v>
      </c>
      <c r="E12" s="5" t="s">
        <v>518</v>
      </c>
    </row>
    <row r="13" customFormat="false" ht="23.85" hidden="false" customHeight="false" outlineLevel="0" collapsed="false">
      <c r="A13" s="8" t="s">
        <v>519</v>
      </c>
      <c r="B13" s="5" t="s">
        <v>520</v>
      </c>
      <c r="C13" s="6" t="s">
        <v>508</v>
      </c>
      <c r="D13" s="5" t="s">
        <v>517</v>
      </c>
      <c r="E13" s="5" t="s">
        <v>521</v>
      </c>
    </row>
    <row r="14" customFormat="false" ht="23.85" hidden="false" customHeight="false" outlineLevel="0" collapsed="false">
      <c r="A14" s="8" t="s">
        <v>522</v>
      </c>
      <c r="B14" s="5" t="s">
        <v>523</v>
      </c>
      <c r="C14" s="6" t="s">
        <v>508</v>
      </c>
      <c r="D14" s="5" t="s">
        <v>524</v>
      </c>
      <c r="E14" s="5" t="s">
        <v>525</v>
      </c>
    </row>
    <row r="15" customFormat="false" ht="23.85" hidden="false" customHeight="false" outlineLevel="0" collapsed="false">
      <c r="A15" s="8" t="s">
        <v>526</v>
      </c>
      <c r="B15" s="5" t="s">
        <v>527</v>
      </c>
      <c r="C15" s="6" t="s">
        <v>508</v>
      </c>
      <c r="D15" s="5" t="s">
        <v>524</v>
      </c>
      <c r="E15" s="5" t="s">
        <v>528</v>
      </c>
    </row>
    <row r="16" customFormat="false" ht="23.85" hidden="false" customHeight="false" outlineLevel="0" collapsed="false">
      <c r="A16" s="8" t="s">
        <v>529</v>
      </c>
      <c r="B16" s="5" t="s">
        <v>530</v>
      </c>
      <c r="C16" s="6" t="s">
        <v>508</v>
      </c>
      <c r="D16" s="5" t="s">
        <v>524</v>
      </c>
      <c r="E16" s="5" t="s">
        <v>531</v>
      </c>
    </row>
    <row r="17" customFormat="false" ht="23.85" hidden="false" customHeight="false" outlineLevel="0" collapsed="false">
      <c r="A17" s="8" t="s">
        <v>532</v>
      </c>
      <c r="B17" s="5" t="s">
        <v>533</v>
      </c>
      <c r="C17" s="6" t="s">
        <v>508</v>
      </c>
      <c r="D17" s="5" t="s">
        <v>524</v>
      </c>
      <c r="E17" s="5" t="s">
        <v>534</v>
      </c>
    </row>
    <row r="18" customFormat="false" ht="23.85" hidden="false" customHeight="false" outlineLevel="0" collapsed="false">
      <c r="A18" s="8" t="s">
        <v>535</v>
      </c>
      <c r="B18" s="5" t="s">
        <v>536</v>
      </c>
      <c r="C18" s="6" t="s">
        <v>508</v>
      </c>
      <c r="D18" s="5" t="s">
        <v>524</v>
      </c>
      <c r="E18" s="5" t="s">
        <v>537</v>
      </c>
    </row>
    <row r="19" customFormat="false" ht="23.85" hidden="false" customHeight="false" outlineLevel="0" collapsed="false">
      <c r="A19" s="8" t="s">
        <v>538</v>
      </c>
      <c r="B19" s="5" t="s">
        <v>539</v>
      </c>
      <c r="C19" s="6" t="s">
        <v>508</v>
      </c>
      <c r="D19" s="5" t="s">
        <v>524</v>
      </c>
      <c r="E19" s="5" t="s">
        <v>540</v>
      </c>
    </row>
    <row r="20" customFormat="false" ht="23.85" hidden="false" customHeight="false" outlineLevel="0" collapsed="false">
      <c r="A20" s="8" t="s">
        <v>541</v>
      </c>
      <c r="B20" s="5" t="s">
        <v>542</v>
      </c>
      <c r="C20" s="6" t="s">
        <v>508</v>
      </c>
      <c r="D20" s="5" t="s">
        <v>524</v>
      </c>
      <c r="E20" s="5" t="s">
        <v>543</v>
      </c>
    </row>
    <row r="21" customFormat="false" ht="23.85" hidden="false" customHeight="false" outlineLevel="0" collapsed="false">
      <c r="A21" s="8" t="s">
        <v>544</v>
      </c>
      <c r="B21" s="5" t="s">
        <v>545</v>
      </c>
      <c r="C21" s="6" t="s">
        <v>45</v>
      </c>
      <c r="D21" s="5" t="s">
        <v>82</v>
      </c>
      <c r="E21" s="5" t="s">
        <v>546</v>
      </c>
    </row>
    <row r="22" customFormat="false" ht="23.85" hidden="false" customHeight="false" outlineLevel="0" collapsed="false">
      <c r="A22" s="8" t="s">
        <v>547</v>
      </c>
      <c r="B22" s="5" t="s">
        <v>548</v>
      </c>
      <c r="C22" s="6" t="s">
        <v>45</v>
      </c>
      <c r="D22" s="5" t="s">
        <v>82</v>
      </c>
      <c r="E22" s="5" t="s">
        <v>549</v>
      </c>
    </row>
    <row r="23" customFormat="false" ht="23.85" hidden="false" customHeight="false" outlineLevel="0" collapsed="false">
      <c r="A23" s="8" t="s">
        <v>550</v>
      </c>
      <c r="B23" s="5" t="s">
        <v>551</v>
      </c>
      <c r="C23" s="6" t="s">
        <v>45</v>
      </c>
      <c r="D23" s="5" t="s">
        <v>82</v>
      </c>
      <c r="E23" s="5" t="s">
        <v>552</v>
      </c>
    </row>
    <row r="24" customFormat="false" ht="23.85" hidden="false" customHeight="false" outlineLevel="0" collapsed="false">
      <c r="A24" s="8" t="s">
        <v>553</v>
      </c>
      <c r="B24" s="5" t="s">
        <v>554</v>
      </c>
      <c r="C24" s="6" t="s">
        <v>555</v>
      </c>
      <c r="D24" s="5" t="s">
        <v>556</v>
      </c>
      <c r="E24" s="5" t="s">
        <v>557</v>
      </c>
    </row>
    <row r="25" customFormat="false" ht="23.85" hidden="false" customHeight="false" outlineLevel="0" collapsed="false">
      <c r="A25" s="8" t="s">
        <v>558</v>
      </c>
      <c r="B25" s="5" t="s">
        <v>559</v>
      </c>
      <c r="C25" s="6" t="s">
        <v>555</v>
      </c>
      <c r="D25" s="5" t="s">
        <v>560</v>
      </c>
      <c r="E25" s="5" t="s">
        <v>561</v>
      </c>
    </row>
    <row r="26" customFormat="false" ht="23.85" hidden="false" customHeight="false" outlineLevel="0" collapsed="false">
      <c r="A26" s="8" t="s">
        <v>562</v>
      </c>
      <c r="B26" s="5" t="s">
        <v>563</v>
      </c>
      <c r="C26" s="6" t="s">
        <v>555</v>
      </c>
      <c r="D26" s="5" t="s">
        <v>564</v>
      </c>
      <c r="E26" s="5" t="s">
        <v>565</v>
      </c>
    </row>
    <row r="27" customFormat="false" ht="23.85" hidden="false" customHeight="false" outlineLevel="0" collapsed="false">
      <c r="A27" s="8" t="s">
        <v>566</v>
      </c>
      <c r="B27" s="5" t="s">
        <v>567</v>
      </c>
      <c r="C27" s="6" t="s">
        <v>555</v>
      </c>
      <c r="D27" s="5" t="s">
        <v>564</v>
      </c>
      <c r="E27" s="5" t="s">
        <v>568</v>
      </c>
    </row>
    <row r="29" customFormat="false" ht="15" hidden="false" customHeight="false" outlineLevel="0" collapsed="false">
      <c r="A29" s="22" t="s">
        <v>569</v>
      </c>
      <c r="B29" s="22"/>
      <c r="C29" s="22"/>
      <c r="D29" s="22"/>
      <c r="E29" s="22"/>
    </row>
  </sheetData>
  <mergeCells count="2">
    <mergeCell ref="A2:E2"/>
    <mergeCell ref="A29:E29"/>
  </mergeCells>
  <dataValidations count="1">
    <dataValidation allowBlank="true" errorStyle="stop" operator="between" showDropDown="false" showErrorMessage="false" showInputMessage="false" sqref="C5:C27" type="list">
      <formula1>"Ya subido,Subido (verificar),Subir ahora,Pendiente de ti,Opcional,Borrar,Hecho"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2026-10-12T19:57:19Z</dcterms:created>
  <dc:creator>openpyxl</dc:creator>
  <dc:description/>
  <dc:language>en-US</dc:language>
  <cp:lastModifiedBy/>
  <dcterms:modified xsi:type="dcterms:W3CDTF">2026-10-12T19:57:21Z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